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gosztott meghajtók\Open Books\Admin\KERESKEDELEM\Marosi PÉK készlet\"/>
    </mc:Choice>
  </mc:AlternateContent>
  <xr:revisionPtr revIDLastSave="0" documentId="13_ncr:1_{10A7BB14-446F-493D-BB5E-D858553B2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tuális készlet" sheetId="1" r:id="rId1"/>
  </sheets>
  <definedNames>
    <definedName name="_xlnm._FilterDatabase" localSheetId="0" hidden="1">'Aktuális készlet'!$A$2:$L$215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4" i="1" l="1"/>
  <c r="I198" i="1"/>
  <c r="I181" i="1"/>
  <c r="I158" i="1"/>
  <c r="I150" i="1"/>
  <c r="I117" i="1"/>
  <c r="I116" i="1"/>
  <c r="I87" i="1"/>
  <c r="I85" i="1"/>
  <c r="I67" i="1"/>
  <c r="I58" i="1"/>
  <c r="I53" i="1"/>
  <c r="K215" i="1"/>
  <c r="K214" i="1"/>
  <c r="K213" i="1"/>
  <c r="I213" i="1" s="1"/>
  <c r="K212" i="1"/>
  <c r="K211" i="1"/>
  <c r="K210" i="1"/>
  <c r="K209" i="1"/>
  <c r="K208" i="1"/>
  <c r="K207" i="1"/>
  <c r="K206" i="1"/>
  <c r="K205" i="1"/>
  <c r="K204" i="1"/>
  <c r="K203" i="1"/>
  <c r="I203" i="1" s="1"/>
  <c r="K202" i="1"/>
  <c r="I202" i="1" s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I189" i="1" s="1"/>
  <c r="K188" i="1"/>
  <c r="K187" i="1"/>
  <c r="K186" i="1"/>
  <c r="I186" i="1" s="1"/>
  <c r="K185" i="1"/>
  <c r="I185" i="1" s="1"/>
  <c r="K184" i="1"/>
  <c r="K183" i="1"/>
  <c r="K182" i="1"/>
  <c r="K181" i="1"/>
  <c r="K180" i="1"/>
  <c r="K179" i="1"/>
  <c r="I179" i="1" s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I162" i="1" s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I149" i="1" s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I125" i="1" s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I106" i="1" s="1"/>
  <c r="K105" i="1"/>
  <c r="K104" i="1"/>
  <c r="K103" i="1"/>
  <c r="I103" i="1" s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I71" i="1" s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215" i="1"/>
  <c r="I215" i="1" s="1"/>
  <c r="H214" i="1"/>
  <c r="H213" i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H202" i="1"/>
  <c r="H201" i="1"/>
  <c r="I201" i="1" s="1"/>
  <c r="H200" i="1"/>
  <c r="I200" i="1" s="1"/>
  <c r="H199" i="1"/>
  <c r="I199" i="1" s="1"/>
  <c r="H198" i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H188" i="1"/>
  <c r="I188" i="1" s="1"/>
  <c r="H187" i="1"/>
  <c r="I187" i="1" s="1"/>
  <c r="H186" i="1"/>
  <c r="H185" i="1"/>
  <c r="H184" i="1"/>
  <c r="I184" i="1" s="1"/>
  <c r="H183" i="1"/>
  <c r="I183" i="1" s="1"/>
  <c r="H182" i="1"/>
  <c r="I182" i="1" s="1"/>
  <c r="H181" i="1"/>
  <c r="H180" i="1"/>
  <c r="I180" i="1" s="1"/>
  <c r="H179" i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H161" i="1"/>
  <c r="I161" i="1" s="1"/>
  <c r="H160" i="1"/>
  <c r="I160" i="1" s="1"/>
  <c r="H159" i="1"/>
  <c r="I159" i="1" s="1"/>
  <c r="H158" i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H149" i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H116" i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H105" i="1"/>
  <c r="I105" i="1" s="1"/>
  <c r="H104" i="1"/>
  <c r="I104" i="1" s="1"/>
  <c r="H103" i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H86" i="1"/>
  <c r="I86" i="1" s="1"/>
  <c r="H85" i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H70" i="1"/>
  <c r="I70" i="1" s="1"/>
  <c r="H69" i="1"/>
  <c r="I69" i="1" s="1"/>
  <c r="H68" i="1"/>
  <c r="I68" i="1" s="1"/>
  <c r="H67" i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H57" i="1"/>
  <c r="I57" i="1" s="1"/>
  <c r="H56" i="1"/>
  <c r="I56" i="1" s="1"/>
  <c r="H55" i="1"/>
  <c r="I55" i="1" s="1"/>
  <c r="H54" i="1"/>
  <c r="I54" i="1" s="1"/>
  <c r="H53" i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E1" i="1"/>
  <c r="F1" i="1"/>
</calcChain>
</file>

<file path=xl/sharedStrings.xml><?xml version="1.0" encoding="utf-8"?>
<sst xmlns="http://schemas.openxmlformats.org/spreadsheetml/2006/main" count="651" uniqueCount="559">
  <si>
    <t>Termékkód</t>
  </si>
  <si>
    <t>Terméknév</t>
  </si>
  <si>
    <t>O15724734</t>
  </si>
  <si>
    <t>20 önismereti kérdés és válasz</t>
  </si>
  <si>
    <t>O15724611</t>
  </si>
  <si>
    <t>36 órás nap</t>
  </si>
  <si>
    <t>O15721283</t>
  </si>
  <si>
    <t>A bábosok</t>
  </si>
  <si>
    <t>O15723089</t>
  </si>
  <si>
    <t>A balerina</t>
  </si>
  <si>
    <t>O15725786</t>
  </si>
  <si>
    <t>A bél-agy paradoxon</t>
  </si>
  <si>
    <t>O15725113</t>
  </si>
  <si>
    <t>A boldog hülye és az okos depressziós</t>
  </si>
  <si>
    <t>O15725809</t>
  </si>
  <si>
    <t>A bolygóideg</t>
  </si>
  <si>
    <t>O15723188</t>
  </si>
  <si>
    <t>A budapesti kém</t>
  </si>
  <si>
    <t>A család ereje</t>
  </si>
  <si>
    <t>O15724697</t>
  </si>
  <si>
    <t>O15724369</t>
  </si>
  <si>
    <t>ADHD-coach</t>
  </si>
  <si>
    <t>O15726110</t>
  </si>
  <si>
    <t>A döntés</t>
  </si>
  <si>
    <t>O15723614</t>
  </si>
  <si>
    <t>Adria Csillaga</t>
  </si>
  <si>
    <t>O15722600</t>
  </si>
  <si>
    <t>A fejlődés útjai</t>
  </si>
  <si>
    <t>O15726721</t>
  </si>
  <si>
    <t>A férfinak szex kell, a nőnek szerelem</t>
  </si>
  <si>
    <t>O15720811</t>
  </si>
  <si>
    <t>A Föld rövid története</t>
  </si>
  <si>
    <t>O15725182</t>
  </si>
  <si>
    <t>A gyermekkor titka</t>
  </si>
  <si>
    <t>O15726196</t>
  </si>
  <si>
    <t>A hazardőr, a sakkmester és a hasznos idióták</t>
  </si>
  <si>
    <t>O15725069</t>
  </si>
  <si>
    <t>A holnapután iskolája</t>
  </si>
  <si>
    <t>O15724512</t>
  </si>
  <si>
    <t>A hosszú élet titkai</t>
  </si>
  <si>
    <t>O15722716</t>
  </si>
  <si>
    <t>A jóság hatalma</t>
  </si>
  <si>
    <t>A képlet</t>
  </si>
  <si>
    <t>O15727278</t>
  </si>
  <si>
    <t>O15725267</t>
  </si>
  <si>
    <t>A koronaőr második tévedése</t>
  </si>
  <si>
    <t>O15725281</t>
  </si>
  <si>
    <t>A korona ügynöke</t>
  </si>
  <si>
    <t>O15725946</t>
  </si>
  <si>
    <t>A kutyák szőrös gyerekek</t>
  </si>
  <si>
    <t>O15723010</t>
  </si>
  <si>
    <t>Alföldi</t>
  </si>
  <si>
    <t>O15726318</t>
  </si>
  <si>
    <t>A magabiztos szülő</t>
  </si>
  <si>
    <t>O15723966</t>
  </si>
  <si>
    <t>A mai naphoz nincsenek emlékeim</t>
  </si>
  <si>
    <t>O15725243</t>
  </si>
  <si>
    <t>A másik szárnysegéd</t>
  </si>
  <si>
    <t>A második világháború</t>
  </si>
  <si>
    <t>O15725366</t>
  </si>
  <si>
    <t>O15722877</t>
  </si>
  <si>
    <t>A meditáció ajándéka</t>
  </si>
  <si>
    <t>O15720194</t>
  </si>
  <si>
    <t>A mi kockánk</t>
  </si>
  <si>
    <t>O15722433</t>
  </si>
  <si>
    <t>Amikor nem értjük többé a világot</t>
  </si>
  <si>
    <t>O15723294</t>
  </si>
  <si>
    <t>A Mindszenty-mítosz</t>
  </si>
  <si>
    <t>O15725656</t>
  </si>
  <si>
    <t>A náci és a pszichiáter</t>
  </si>
  <si>
    <t>O15724031</t>
  </si>
  <si>
    <t>Anya, anya, anya</t>
  </si>
  <si>
    <t>O15724017</t>
  </si>
  <si>
    <t>Apa, apa, apa</t>
  </si>
  <si>
    <t>O15720644</t>
  </si>
  <si>
    <t>Apagyilkosság</t>
  </si>
  <si>
    <t>O15722242</t>
  </si>
  <si>
    <t>A rítusok ereje</t>
  </si>
  <si>
    <t>O15726103</t>
  </si>
  <si>
    <t>A sóvárgás démona</t>
  </si>
  <si>
    <t>O15724796</t>
  </si>
  <si>
    <t>A szerelmes agy</t>
  </si>
  <si>
    <t>O15720330</t>
  </si>
  <si>
    <t>A tenger csodái</t>
  </si>
  <si>
    <t>O15725618</t>
  </si>
  <si>
    <t>A test, amiben lakik valaki</t>
  </si>
  <si>
    <t>O15727292</t>
  </si>
  <si>
    <t>A testbeszéd enciklopédiája</t>
  </si>
  <si>
    <t>A test lázadása</t>
  </si>
  <si>
    <t>O15727285</t>
  </si>
  <si>
    <t>O15725472</t>
  </si>
  <si>
    <t>A tigris felébresztése</t>
  </si>
  <si>
    <t>O15726349</t>
  </si>
  <si>
    <t>Az ajándék</t>
  </si>
  <si>
    <t>O15723911</t>
  </si>
  <si>
    <t>Az ajándék - Díszkiadás</t>
  </si>
  <si>
    <t>O15723980</t>
  </si>
  <si>
    <t>Az Azték Birodalom bukása</t>
  </si>
  <si>
    <t>O15721269</t>
  </si>
  <si>
    <t>Az elég jó konyha</t>
  </si>
  <si>
    <t>O15726158</t>
  </si>
  <si>
    <t>Az elég jó válás</t>
  </si>
  <si>
    <t>O15721474</t>
  </si>
  <si>
    <t>Az élet hat bástyája</t>
  </si>
  <si>
    <t>O15724321</t>
  </si>
  <si>
    <t>Az elnyomottak pedagógiája</t>
  </si>
  <si>
    <t>O15723201</t>
  </si>
  <si>
    <t>Az első budapesti olimpia</t>
  </si>
  <si>
    <t>Az első világháború</t>
  </si>
  <si>
    <t>O15724529</t>
  </si>
  <si>
    <t>O15723355</t>
  </si>
  <si>
    <t>Az ember vége, a természet esélye</t>
  </si>
  <si>
    <t>O15721528</t>
  </si>
  <si>
    <t>Az ígéret</t>
  </si>
  <si>
    <t>O15720347</t>
  </si>
  <si>
    <t>Az inkák visszatérnek</t>
  </si>
  <si>
    <t>O15721122</t>
  </si>
  <si>
    <t>Az otthon hidege</t>
  </si>
  <si>
    <t>O15725878</t>
  </si>
  <si>
    <t>Az örökké rövid története</t>
  </si>
  <si>
    <t>Az öröm művészete</t>
  </si>
  <si>
    <t>O15724543</t>
  </si>
  <si>
    <t>O15724222</t>
  </si>
  <si>
    <t>Az utolsó magyar akcióhős</t>
  </si>
  <si>
    <t>Baljós rajzok</t>
  </si>
  <si>
    <t>O15727308</t>
  </si>
  <si>
    <t>O15725427</t>
  </si>
  <si>
    <t>Bárpult a Ritzben</t>
  </si>
  <si>
    <t>O15725953</t>
  </si>
  <si>
    <t>Behálózva</t>
  </si>
  <si>
    <t>O15721719</t>
  </si>
  <si>
    <t>Béke volt</t>
  </si>
  <si>
    <t>O15726479</t>
  </si>
  <si>
    <t>Bél-jóllét</t>
  </si>
  <si>
    <t>O15725717</t>
  </si>
  <si>
    <t>Beszélj úgy, hogy tanuljon</t>
  </si>
  <si>
    <t>O15724598</t>
  </si>
  <si>
    <t>Beugrás</t>
  </si>
  <si>
    <t>O15722372</t>
  </si>
  <si>
    <t>Bohém szülők kézikönyve</t>
  </si>
  <si>
    <t>Bölcs születés</t>
  </si>
  <si>
    <t>O15726356</t>
  </si>
  <si>
    <t>O15726080</t>
  </si>
  <si>
    <t>Bróker Marcsi</t>
  </si>
  <si>
    <t>O15727315</t>
  </si>
  <si>
    <t>Budapest Noir</t>
  </si>
  <si>
    <t>O15725144</t>
  </si>
  <si>
    <t>Budapest romokban</t>
  </si>
  <si>
    <t>O15725151</t>
  </si>
  <si>
    <t>Bűnös Budapest</t>
  </si>
  <si>
    <t>O15725090</t>
  </si>
  <si>
    <t>Cserhalmi</t>
  </si>
  <si>
    <t>O15724086</t>
  </si>
  <si>
    <t>Drága bácsikám</t>
  </si>
  <si>
    <t>O15726134</t>
  </si>
  <si>
    <t>Drága barátaim, kedves majmok</t>
  </si>
  <si>
    <t>O15725991</t>
  </si>
  <si>
    <t>Egy cukrászda Budán</t>
  </si>
  <si>
    <t>O15721535</t>
  </si>
  <si>
    <t>Egyetértés vadásztársaság</t>
  </si>
  <si>
    <t>O15722099</t>
  </si>
  <si>
    <t>Élet és halál küszöbén</t>
  </si>
  <si>
    <t>O15722020</t>
  </si>
  <si>
    <t>Elménk csapdájában</t>
  </si>
  <si>
    <t>O15724062</t>
  </si>
  <si>
    <t>Éltető étrend</t>
  </si>
  <si>
    <t>O15721443</t>
  </si>
  <si>
    <t>Elválás</t>
  </si>
  <si>
    <t>O15724918</t>
  </si>
  <si>
    <t>Emma</t>
  </si>
  <si>
    <t>O15723065</t>
  </si>
  <si>
    <t>Erdőmentők</t>
  </si>
  <si>
    <t>O15721412</t>
  </si>
  <si>
    <t>Érezd jól magad</t>
  </si>
  <si>
    <t>O15722792</t>
  </si>
  <si>
    <t>Érzelmi intelligencia</t>
  </si>
  <si>
    <t>O15722891</t>
  </si>
  <si>
    <t>Évszakok ízei</t>
  </si>
  <si>
    <t>O15725977</t>
  </si>
  <si>
    <t>Ez nem atomfizika</t>
  </si>
  <si>
    <t>O15726714</t>
  </si>
  <si>
    <t>Ez nem atomfizika (munkafüzet)</t>
  </si>
  <si>
    <t>O15725892</t>
  </si>
  <si>
    <t>Feliza nevei</t>
  </si>
  <si>
    <t>Félj bátran</t>
  </si>
  <si>
    <t>O15725960</t>
  </si>
  <si>
    <t>O15724482</t>
  </si>
  <si>
    <t>Fényevők</t>
  </si>
  <si>
    <t>O15725762</t>
  </si>
  <si>
    <t>Francia lakoma</t>
  </si>
  <si>
    <t>O15725557</t>
  </si>
  <si>
    <t>Gödel, Escher, Bach</t>
  </si>
  <si>
    <t>O15724383</t>
  </si>
  <si>
    <t>Grand Hotel Hungária</t>
  </si>
  <si>
    <t>O15721641</t>
  </si>
  <si>
    <t>Gyermekágy</t>
  </si>
  <si>
    <t>O15724109</t>
  </si>
  <si>
    <t>Gyógyulástörténetek</t>
  </si>
  <si>
    <t>Hajnali láz</t>
  </si>
  <si>
    <t>O15722655</t>
  </si>
  <si>
    <t>O15723447</t>
  </si>
  <si>
    <t>Hallgat a férfi, eltéved a nő</t>
  </si>
  <si>
    <t>O15723270</t>
  </si>
  <si>
    <t>Hamarosan a mozikban</t>
  </si>
  <si>
    <t>O15725595</t>
  </si>
  <si>
    <t>Hamisítók</t>
  </si>
  <si>
    <t>O15726493</t>
  </si>
  <si>
    <t>Himnusz az élethez</t>
  </si>
  <si>
    <t>O15722365</t>
  </si>
  <si>
    <t>Hívd fel Párizst!</t>
  </si>
  <si>
    <t>O15723317</t>
  </si>
  <si>
    <t>Holli, a hős</t>
  </si>
  <si>
    <t>O15724574</t>
  </si>
  <si>
    <t>Igazad van</t>
  </si>
  <si>
    <t>Íme, az ember</t>
  </si>
  <si>
    <t>O15726127</t>
  </si>
  <si>
    <t>Immun</t>
  </si>
  <si>
    <t>O15727322</t>
  </si>
  <si>
    <t>Istenek és emberek</t>
  </si>
  <si>
    <t>O15724536</t>
  </si>
  <si>
    <t>O15725373</t>
  </si>
  <si>
    <t>Jeromos, a barátom</t>
  </si>
  <si>
    <t>O15726387</t>
  </si>
  <si>
    <t>Jövőnk a Földön</t>
  </si>
  <si>
    <t>O15723119</t>
  </si>
  <si>
    <t>Jövőpánik</t>
  </si>
  <si>
    <t>O15723393</t>
  </si>
  <si>
    <t>Kádárné és Kádár</t>
  </si>
  <si>
    <t>O15724123</t>
  </si>
  <si>
    <t>Kata</t>
  </si>
  <si>
    <t>O15721375</t>
  </si>
  <si>
    <t>Keserédes</t>
  </si>
  <si>
    <t>O15722631</t>
  </si>
  <si>
    <t>Két macska voltam</t>
  </si>
  <si>
    <t>O15723157</t>
  </si>
  <si>
    <t>Kézikönyv dühös emberekhez</t>
  </si>
  <si>
    <t>O15721887</t>
  </si>
  <si>
    <t>Kiképzés</t>
  </si>
  <si>
    <t>O15722280</t>
  </si>
  <si>
    <t>Kiugrás a történelemből</t>
  </si>
  <si>
    <t>Kíváncsiságom története</t>
  </si>
  <si>
    <t>O15725939</t>
  </si>
  <si>
    <t>O15722471</t>
  </si>
  <si>
    <t>Kleopátra, a Nílus királynője</t>
  </si>
  <si>
    <t>O15722938</t>
  </si>
  <si>
    <t>Klímakönyv</t>
  </si>
  <si>
    <t>O15720781</t>
  </si>
  <si>
    <t>Kobani lányai</t>
  </si>
  <si>
    <t>O15724970</t>
  </si>
  <si>
    <t>Kölyökkutya</t>
  </si>
  <si>
    <t>O15725403</t>
  </si>
  <si>
    <t>Közel</t>
  </si>
  <si>
    <t>O15726172</t>
  </si>
  <si>
    <t>Köztünk járnak</t>
  </si>
  <si>
    <t>O15724000</t>
  </si>
  <si>
    <t>Kroki-dili</t>
  </si>
  <si>
    <t>O15722075</t>
  </si>
  <si>
    <t>Kutyakötelesség</t>
  </si>
  <si>
    <t>O15723553</t>
  </si>
  <si>
    <t>Lakoma 1.</t>
  </si>
  <si>
    <t>O15723133</t>
  </si>
  <si>
    <t>Legyél te is bajnok</t>
  </si>
  <si>
    <t>O15723805</t>
  </si>
  <si>
    <t>Léna</t>
  </si>
  <si>
    <t>O15726141</t>
  </si>
  <si>
    <t>Levegőt</t>
  </si>
  <si>
    <t>O15722419</t>
  </si>
  <si>
    <t>MANIAC</t>
  </si>
  <si>
    <t>O15725380</t>
  </si>
  <si>
    <t>Második magyar köztársaság</t>
  </si>
  <si>
    <t>O15724772</t>
  </si>
  <si>
    <t>Még</t>
  </si>
  <si>
    <t>O15726431</t>
  </si>
  <si>
    <t>Megszelídítettek a kutyák</t>
  </si>
  <si>
    <t>O15724444</t>
  </si>
  <si>
    <t>Merkúr a retrográdban</t>
  </si>
  <si>
    <t>O15722709</t>
  </si>
  <si>
    <t>Metabolikus egyensúly a rákkezelésben</t>
  </si>
  <si>
    <t>Miért pont én</t>
  </si>
  <si>
    <t>O15721917</t>
  </si>
  <si>
    <t>O15723829</t>
  </si>
  <si>
    <t>Mindentudók kézikönyve</t>
  </si>
  <si>
    <t>O15720491</t>
  </si>
  <si>
    <t>Montessori baba</t>
  </si>
  <si>
    <t>O15723324</t>
  </si>
  <si>
    <t>Montessori gyerek</t>
  </si>
  <si>
    <t>O15727339</t>
  </si>
  <si>
    <t>Montessori tipegő</t>
  </si>
  <si>
    <t>O15721863</t>
  </si>
  <si>
    <t>Nagy Sándor</t>
  </si>
  <si>
    <t>O15724345</t>
  </si>
  <si>
    <t>Négy levél a szerelemről</t>
  </si>
  <si>
    <t>O15726738</t>
  </si>
  <si>
    <t>Nekem te kellesz, neked pedig én</t>
  </si>
  <si>
    <t>O15720309</t>
  </si>
  <si>
    <t>Ne kérdezd, kik vagyunk</t>
  </si>
  <si>
    <t>O15721313</t>
  </si>
  <si>
    <t>Ne maradjon kettőnk között</t>
  </si>
  <si>
    <t>O15721252</t>
  </si>
  <si>
    <t>Neumann János</t>
  </si>
  <si>
    <t>O15724758</t>
  </si>
  <si>
    <t>Nincs tabu</t>
  </si>
  <si>
    <t>O15720873</t>
  </si>
  <si>
    <t>Normális vagy</t>
  </si>
  <si>
    <t>O15724284</t>
  </si>
  <si>
    <t>Nyelni</t>
  </si>
  <si>
    <t>O15721382</t>
  </si>
  <si>
    <t>Olasz lakoma</t>
  </si>
  <si>
    <t>O15722778</t>
  </si>
  <si>
    <t>Optimal</t>
  </si>
  <si>
    <t>O15723782</t>
  </si>
  <si>
    <t>Ő ott bent</t>
  </si>
  <si>
    <t>O15721085</t>
  </si>
  <si>
    <t>Összeesküvés Ferenc pápa ellen</t>
  </si>
  <si>
    <t>O15724710</t>
  </si>
  <si>
    <t>Pár-harc</t>
  </si>
  <si>
    <t>O15724932</t>
  </si>
  <si>
    <t>Párizsi történet</t>
  </si>
  <si>
    <t>O15724468</t>
  </si>
  <si>
    <t>Pedig olyan szépen éltek</t>
  </si>
  <si>
    <t>O15723058</t>
  </si>
  <si>
    <t>Petőfi Sándorka és a kutyakölyök</t>
  </si>
  <si>
    <t>O15725731</t>
  </si>
  <si>
    <t>Pracli és Pandúr 1.</t>
  </si>
  <si>
    <t>O15725748</t>
  </si>
  <si>
    <t xml:space="preserve">Pracli és Pandúr 2. </t>
  </si>
  <si>
    <t>O15725755</t>
  </si>
  <si>
    <t xml:space="preserve">Pracli és Pandúr 3. </t>
  </si>
  <si>
    <t>O15723867</t>
  </si>
  <si>
    <t>Pszichológia mindenkinek 1.</t>
  </si>
  <si>
    <t>Pszichológia mindenkinek 2.</t>
  </si>
  <si>
    <t>O15723102</t>
  </si>
  <si>
    <t>O15723096</t>
  </si>
  <si>
    <t>Pszichológia mindenkinek 3.</t>
  </si>
  <si>
    <t>Pszichológia mindenkinek 4.</t>
  </si>
  <si>
    <t>O15724994</t>
  </si>
  <si>
    <t>O15724147</t>
  </si>
  <si>
    <t>Randevú a kozmosszal</t>
  </si>
  <si>
    <t>O15726615</t>
  </si>
  <si>
    <t>Sakkpalota 2. Futi Futó kalandjai</t>
  </si>
  <si>
    <t>Sakkpalota 3. Vendi Vezér kalandjai</t>
  </si>
  <si>
    <t>O15726622</t>
  </si>
  <si>
    <t>Sakkpalota 4. Keresztes Király</t>
  </si>
  <si>
    <t>O15726639</t>
  </si>
  <si>
    <t>Sakkpalota 5. Hopp Huszár</t>
  </si>
  <si>
    <t>O15726646</t>
  </si>
  <si>
    <t>O15726653</t>
  </si>
  <si>
    <t>Sakkpalota 6. Pici Gyalog</t>
  </si>
  <si>
    <t>O15726608</t>
  </si>
  <si>
    <t>Sakkpalota - Bumm Bástya kalandjai</t>
  </si>
  <si>
    <t>O15726028</t>
  </si>
  <si>
    <t>Sakkpalota foglalkoztató 1.</t>
  </si>
  <si>
    <t>O15726035</t>
  </si>
  <si>
    <t>Sakkpalota foglalkoztató 2.</t>
  </si>
  <si>
    <t>O15725021</t>
  </si>
  <si>
    <t>Sárm</t>
  </si>
  <si>
    <t>O15720354</t>
  </si>
  <si>
    <t>Segítség, kutyás lettem</t>
  </si>
  <si>
    <t>O15722389</t>
  </si>
  <si>
    <t>Se hiszti, se nyafogás</t>
  </si>
  <si>
    <t>O15724055</t>
  </si>
  <si>
    <t>Semmelweis Ignác rövid boldogsága</t>
  </si>
  <si>
    <t>O15722914</t>
  </si>
  <si>
    <t>Sétálgatok a kertemben</t>
  </si>
  <si>
    <t>O15725632</t>
  </si>
  <si>
    <t>Sir Lewis</t>
  </si>
  <si>
    <t>O15723881</t>
  </si>
  <si>
    <t>Sisi</t>
  </si>
  <si>
    <t>O15720682</t>
  </si>
  <si>
    <t>Sisi – Az árulás</t>
  </si>
  <si>
    <t>O15721115</t>
  </si>
  <si>
    <t>Soha ne add fel</t>
  </si>
  <si>
    <t>O15724833</t>
  </si>
  <si>
    <t>Strange Pictures</t>
  </si>
  <si>
    <t>O15722396</t>
  </si>
  <si>
    <t>Surrender</t>
  </si>
  <si>
    <t>O15726417</t>
  </si>
  <si>
    <t>Szélhámos Budapest</t>
  </si>
  <si>
    <t>O15721023</t>
  </si>
  <si>
    <t>Szemérmetlen történetek</t>
  </si>
  <si>
    <t>Szétszórt elmék</t>
  </si>
  <si>
    <t>O15726332</t>
  </si>
  <si>
    <t>O15724246</t>
  </si>
  <si>
    <t>Szóló</t>
  </si>
  <si>
    <t>O15726912</t>
  </si>
  <si>
    <t>Teljes gyógyulás</t>
  </si>
  <si>
    <t>O15724185</t>
  </si>
  <si>
    <t>Teremtő képzelet</t>
  </si>
  <si>
    <t>O15727346</t>
  </si>
  <si>
    <t>Testbeszéd</t>
  </si>
  <si>
    <t>O15723461</t>
  </si>
  <si>
    <t>Testbeszéd a szerelemben</t>
  </si>
  <si>
    <t>O15723041</t>
  </si>
  <si>
    <t>Tihamér füveskönyve</t>
  </si>
  <si>
    <t>O15723904</t>
  </si>
  <si>
    <t>Tövispuszta</t>
  </si>
  <si>
    <t>O15724635</t>
  </si>
  <si>
    <t>Traumám története</t>
  </si>
  <si>
    <t>O15725847</t>
  </si>
  <si>
    <t>Úton önmagadhoz</t>
  </si>
  <si>
    <t>O15722266</t>
  </si>
  <si>
    <t>Üvegház</t>
  </si>
  <si>
    <t>O15720606</t>
  </si>
  <si>
    <t>Vadak között szabadon</t>
  </si>
  <si>
    <t>O15720064</t>
  </si>
  <si>
    <t>Vagy hallgasson örökre</t>
  </si>
  <si>
    <t>O15721238</t>
  </si>
  <si>
    <t>Válaszd az életet</t>
  </si>
  <si>
    <t>O15721351</t>
  </si>
  <si>
    <t>Van miért élni</t>
  </si>
  <si>
    <t>Várandósság</t>
  </si>
  <si>
    <t>O15726363</t>
  </si>
  <si>
    <t>O15723898</t>
  </si>
  <si>
    <t>Világkép</t>
  </si>
  <si>
    <t>Villa Abbázia</t>
  </si>
  <si>
    <t>O15724567</t>
  </si>
  <si>
    <t>O15724505</t>
  </si>
  <si>
    <t>Villanások</t>
  </si>
  <si>
    <t>O15720712</t>
  </si>
  <si>
    <t>Vissza a természethez</t>
  </si>
  <si>
    <t>O15721733</t>
  </si>
  <si>
    <t>Yoko</t>
  </si>
  <si>
    <t>O15722204</t>
  </si>
  <si>
    <t>Zarifa</t>
  </si>
  <si>
    <t>O15720057</t>
  </si>
  <si>
    <t>Zárka</t>
  </si>
  <si>
    <t>O15725823</t>
  </si>
  <si>
    <t>Zászló, kóla, szív</t>
  </si>
  <si>
    <t>EAN</t>
  </si>
  <si>
    <t>árkötöttség lejár</t>
  </si>
  <si>
    <t>szerző</t>
  </si>
  <si>
    <t>Herendi Kata; Szabó Eszter Judit</t>
  </si>
  <si>
    <t>Mace, Nancy L.; Rabins, Peter V.</t>
  </si>
  <si>
    <t>Csányi Vilmos</t>
  </si>
  <si>
    <t>Dr. Eger, Edith Eva</t>
  </si>
  <si>
    <t>Gundry, Steven R.</t>
  </si>
  <si>
    <t>Kepes András</t>
  </si>
  <si>
    <t>Tracey, Kevin</t>
  </si>
  <si>
    <t>Kondor Vilmos</t>
  </si>
  <si>
    <t>Dr. Máté Gábor; Dr. Neufeld, Gordon</t>
  </si>
  <si>
    <t>Gendron, Alice</t>
  </si>
  <si>
    <t>Huszti Gergely</t>
  </si>
  <si>
    <t>Csíkszentmihályi Mihály</t>
  </si>
  <si>
    <t>Pease, Allan; Pease, Barbara</t>
  </si>
  <si>
    <t>Knoll, H. Andrew</t>
  </si>
  <si>
    <t>Montessori, Maria</t>
  </si>
  <si>
    <t>Barabási Albert-László</t>
  </si>
  <si>
    <t>Ungváry Krisztián</t>
  </si>
  <si>
    <t>Gloviczki Zoltán</t>
  </si>
  <si>
    <t>Buettner, Dan</t>
  </si>
  <si>
    <t>Goleman, Daniel</t>
  </si>
  <si>
    <t>Csáki Judit</t>
  </si>
  <si>
    <t>Bojti Andrea</t>
  </si>
  <si>
    <t>Szentesi Éva</t>
  </si>
  <si>
    <t>Sandbrook, Dominic</t>
  </si>
  <si>
    <t>Goleman, Daniel; Coknyi rinpocse</t>
  </si>
  <si>
    <t>Rubik Ernő</t>
  </si>
  <si>
    <t>Labatut, Benjamin</t>
  </si>
  <si>
    <t>El-Hai, Jack</t>
  </si>
  <si>
    <t>Climo, Liz</t>
  </si>
  <si>
    <t>Medgyesi Konstantin</t>
  </si>
  <si>
    <t>Dimitris Xygalatas</t>
  </si>
  <si>
    <t>Dr. Máté Gábor</t>
  </si>
  <si>
    <t>Cacioppo, Stephanie</t>
  </si>
  <si>
    <t>Rothman, Julia; Niekrasz, John</t>
  </si>
  <si>
    <t>Farkas Flóra</t>
  </si>
  <si>
    <t>Levine, Peter A.; Frederick, Ann</t>
  </si>
  <si>
    <t>Bertényi Gábor, Nemes Nóra</t>
  </si>
  <si>
    <t>Gyurkó Szilvia</t>
  </si>
  <si>
    <t>Malchiner Péter</t>
  </si>
  <si>
    <t>Freire, Paolo</t>
  </si>
  <si>
    <t>Jordán Ferenc</t>
  </si>
  <si>
    <t>Galgut, Damon</t>
  </si>
  <si>
    <t>Javier Zea</t>
  </si>
  <si>
    <t>Vass Virág</t>
  </si>
  <si>
    <t>Rekulak, Jason</t>
  </si>
  <si>
    <t>Collin, Philippe</t>
  </si>
  <si>
    <t>F. Várkonyi Zsuzsa</t>
  </si>
  <si>
    <t>Adele Faber; Elaine Mazlish; Lisa Nyberg; Rosalyn Anstine Templeton</t>
  </si>
  <si>
    <t>Druckerman, Pamela</t>
  </si>
  <si>
    <t>Robin Lim</t>
  </si>
  <si>
    <t>Kal Pintér Mihály</t>
  </si>
  <si>
    <t>Göring, Bettina; Müller, Melissa</t>
  </si>
  <si>
    <t>Fuchs, Ulrike</t>
  </si>
  <si>
    <t>Majtényi György</t>
  </si>
  <si>
    <t>Vajkoczy, Peter</t>
  </si>
  <si>
    <t>Dr. Szabó-Bartha Anett</t>
  </si>
  <si>
    <t>Spector, Tim</t>
  </si>
  <si>
    <t>Taubes, Susan</t>
  </si>
  <si>
    <t>Reno, Jean</t>
  </si>
  <si>
    <t>Petri Lukács Ádám</t>
  </si>
  <si>
    <t>Csíki Mariann, Labádiné Józsa Mónika</t>
  </si>
  <si>
    <t>Váncsa István</t>
  </si>
  <si>
    <t>Tapasztó Orsi</t>
  </si>
  <si>
    <t>Vásquez, Juan Gabriel</t>
  </si>
  <si>
    <t>Al Ghaoui Hesna</t>
  </si>
  <si>
    <t>Schlanger, Zoë</t>
  </si>
  <si>
    <t>Hofstadter, Douglas R.</t>
  </si>
  <si>
    <t>Dr. Turner, Kelly A.</t>
  </si>
  <si>
    <t>Gárdos Péter</t>
  </si>
  <si>
    <t>Tom Hanks</t>
  </si>
  <si>
    <t>Pelicot, Gisèle</t>
  </si>
  <si>
    <t>Dettmer, Philipp</t>
  </si>
  <si>
    <t>Barát József; Csányi Vilmos</t>
  </si>
  <si>
    <t>Toldy Csilla</t>
  </si>
  <si>
    <t>Cain, Susan</t>
  </si>
  <si>
    <t>Dr. Ryan Martin</t>
  </si>
  <si>
    <t>Vitray Tamás</t>
  </si>
  <si>
    <t>Thunberg, Greta</t>
  </si>
  <si>
    <t>Gayle Tzemach Lemmon</t>
  </si>
  <si>
    <t>Miklósi Bernadett</t>
  </si>
  <si>
    <t>Dobray Sarolta</t>
  </si>
  <si>
    <t>Gyurkó Szlivia</t>
  </si>
  <si>
    <t>Robert Heidbreder</t>
  </si>
  <si>
    <t>Polgár Judit</t>
  </si>
  <si>
    <t>Roden Winter, Molly</t>
  </si>
  <si>
    <t>dr. Winters, Nasha; Higgins Kelley, Jess</t>
  </si>
  <si>
    <t>Ódor Lajos</t>
  </si>
  <si>
    <t>Davies, Simone; Uzodike, Junnifa</t>
  </si>
  <si>
    <t>Simone, Davies</t>
  </si>
  <si>
    <t>Williams, Niall</t>
  </si>
  <si>
    <t>Amanda Gorman</t>
  </si>
  <si>
    <t>Hernádi Judit; Tarján Zsófia</t>
  </si>
  <si>
    <t>Bhattacharya, Ananyo</t>
  </si>
  <si>
    <t>Silverman, Robyn</t>
  </si>
  <si>
    <t>Dr. Máté Gábor; Máté Dániel</t>
  </si>
  <si>
    <t>Kemény Zsófi</t>
  </si>
  <si>
    <t>Goleman, Daniel; Cary Cherniss</t>
  </si>
  <si>
    <t>Englisch, Andreas</t>
  </si>
  <si>
    <t>Gottman, John – Gottman, Julie Schwartz</t>
  </si>
  <si>
    <t>Reichl, Ruth</t>
  </si>
  <si>
    <t>McLaren, Meg</t>
  </si>
  <si>
    <t>Zimbardo, Philip G.; Johnson, Robert L.; McCann, Vivian</t>
  </si>
  <si>
    <t>Kis-Tóth Ágnes</t>
  </si>
  <si>
    <t>Sonnevend Júlia</t>
  </si>
  <si>
    <t>Sawyer, Michael</t>
  </si>
  <si>
    <t>Hell, Elena; Krause, Robert</t>
  </si>
  <si>
    <t>Elena Hell</t>
  </si>
  <si>
    <t>Uketsu</t>
  </si>
  <si>
    <t>Bono</t>
  </si>
  <si>
    <t>dr. Rediger, Jeffrey</t>
  </si>
  <si>
    <t>Pease, Allan</t>
  </si>
  <si>
    <t>Mihály Marci</t>
  </si>
  <si>
    <t>Levine, Peter A.</t>
  </si>
  <si>
    <t>Szuzuki Sunrjú</t>
  </si>
  <si>
    <t>Molnar, Szilvia</t>
  </si>
  <si>
    <t>Fodor Kinga; Szilágyi István</t>
  </si>
  <si>
    <t>Frankl, Viktor E.</t>
  </si>
  <si>
    <t>Sheff, David</t>
  </si>
  <si>
    <t>Zarifa Ghafari; Hannah Lucinda Smith</t>
  </si>
  <si>
    <t>Kira Jarmis</t>
  </si>
  <si>
    <t>Kovács Petra</t>
  </si>
  <si>
    <t>normál készlet</t>
  </si>
  <si>
    <t>akciós készlet</t>
  </si>
  <si>
    <t>fogy.ár (5% áfás)</t>
  </si>
  <si>
    <t>nettó ár</t>
  </si>
  <si>
    <t>árréssel csökentett nettó ár (OB-nak fizetendő)</t>
  </si>
  <si>
    <t>javasolt kedvezmény vevőknek</t>
  </si>
  <si>
    <t>javasolt kedvezményes, bolti áfás 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</si>
</sst>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5" formatCode="#,##0.00\ &quot;Ft&quot;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  <charset val="238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</cellXfs>
  <cellStyles count="1">
    <cellStyle name="Normá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"/>
  <sheetViews>
    <sheetView tabSelected="1" workbookViewId="0">
      <pane ySplit="2" topLeftCell="A3" activePane="bottomLeft" state="frozen"/>
      <selection pane="bottomLeft" activeCell="I2" sqref="I2"/>
    </sheetView>
  </sheetViews>
  <sheetFormatPr defaultRowHeight="14.4" x14ac:dyDescent="0.3"/>
  <cols>
    <col min="1" max="1" width="11.5546875" customWidth="1"/>
    <col min="2" max="2" width="14.109375" style="1" bestFit="1" customWidth="1"/>
    <col min="3" max="3" width="18" style="1" customWidth="1"/>
    <col min="4" max="4" width="39.88671875" bestFit="1" customWidth="1"/>
    <col min="5" max="6" width="10.21875" customWidth="1"/>
    <col min="7" max="7" width="8.88671875" customWidth="1"/>
    <col min="8" max="8" width="12.109375" bestFit="1" customWidth="1"/>
    <col min="9" max="9" width="16" customWidth="1"/>
    <col min="10" max="10" width="12" customWidth="1"/>
    <col min="11" max="11" width="15" customWidth="1"/>
    <col min="12" max="12" width="11" customWidth="1"/>
  </cols>
  <sheetData>
    <row r="1" spans="1:13" x14ac:dyDescent="0.3">
      <c r="E1">
        <f>SUM(E3:E215)</f>
        <v>75</v>
      </c>
      <c r="F1">
        <f>SUM(F3:F215)</f>
        <v>470</v>
      </c>
    </row>
    <row r="2" spans="1:13" ht="57.6" x14ac:dyDescent="0.3">
      <c r="A2" s="2" t="s">
        <v>0</v>
      </c>
      <c r="B2" s="3" t="s">
        <v>428</v>
      </c>
      <c r="C2" s="4" t="s">
        <v>430</v>
      </c>
      <c r="D2" s="2" t="s">
        <v>1</v>
      </c>
      <c r="E2" s="5" t="s">
        <v>553</v>
      </c>
      <c r="F2" s="5" t="s">
        <v>552</v>
      </c>
      <c r="G2" s="5" t="s">
        <v>554</v>
      </c>
      <c r="H2" s="2" t="s">
        <v>555</v>
      </c>
      <c r="I2" s="2" t="s">
        <v>556</v>
      </c>
      <c r="J2" s="2" t="s">
        <v>557</v>
      </c>
      <c r="K2" s="2" t="s">
        <v>558</v>
      </c>
      <c r="L2" s="5" t="s">
        <v>429</v>
      </c>
    </row>
    <row r="3" spans="1:13" x14ac:dyDescent="0.3">
      <c r="A3" s="6" t="s">
        <v>2</v>
      </c>
      <c r="B3" s="7">
        <v>9789635724734</v>
      </c>
      <c r="C3" s="7" t="s">
        <v>431</v>
      </c>
      <c r="D3" s="6" t="s">
        <v>3</v>
      </c>
      <c r="E3" s="6"/>
      <c r="F3" s="6">
        <v>2</v>
      </c>
      <c r="G3" s="8">
        <v>4999</v>
      </c>
      <c r="H3" s="11">
        <f>G3/1.05</f>
        <v>4760.9523809523807</v>
      </c>
      <c r="I3" s="11">
        <f>H3*0.55</f>
        <v>2618.5238095238096</v>
      </c>
      <c r="J3" s="10">
        <v>0.2</v>
      </c>
      <c r="K3" s="8">
        <f>G3-(G3*J3)</f>
        <v>3999.2</v>
      </c>
      <c r="L3" s="9"/>
      <c r="M3" s="12"/>
    </row>
    <row r="4" spans="1:13" x14ac:dyDescent="0.3">
      <c r="A4" s="6" t="s">
        <v>4</v>
      </c>
      <c r="B4" s="7">
        <v>9789635724611</v>
      </c>
      <c r="C4" s="7" t="s">
        <v>432</v>
      </c>
      <c r="D4" s="6" t="s">
        <v>5</v>
      </c>
      <c r="E4" s="6"/>
      <c r="F4" s="6">
        <v>2</v>
      </c>
      <c r="G4" s="8">
        <v>8999</v>
      </c>
      <c r="H4" s="11">
        <f t="shared" ref="H4:H67" si="0">G4/1.05</f>
        <v>8570.4761904761908</v>
      </c>
      <c r="I4" s="11">
        <f t="shared" ref="I4:I67" si="1">H4*0.55</f>
        <v>4713.7619047619055</v>
      </c>
      <c r="J4" s="10">
        <v>0.1</v>
      </c>
      <c r="K4" s="8">
        <f>G4-(G4*J4)</f>
        <v>8099.1</v>
      </c>
      <c r="L4" s="9">
        <v>46214</v>
      </c>
    </row>
    <row r="5" spans="1:13" x14ac:dyDescent="0.3">
      <c r="A5" s="6" t="s">
        <v>6</v>
      </c>
      <c r="B5" s="7">
        <v>9789635721283</v>
      </c>
      <c r="C5" s="7" t="s">
        <v>433</v>
      </c>
      <c r="D5" s="6" t="s">
        <v>7</v>
      </c>
      <c r="E5" s="6"/>
      <c r="F5" s="6">
        <v>2</v>
      </c>
      <c r="G5" s="8">
        <v>4499</v>
      </c>
      <c r="H5" s="11">
        <f t="shared" si="0"/>
        <v>4284.7619047619046</v>
      </c>
      <c r="I5" s="11">
        <f t="shared" si="1"/>
        <v>2356.6190476190477</v>
      </c>
      <c r="J5" s="10">
        <v>0.2</v>
      </c>
      <c r="K5" s="8">
        <f>G5-(G5*J5)</f>
        <v>3599.2</v>
      </c>
      <c r="L5" s="9"/>
    </row>
    <row r="6" spans="1:13" x14ac:dyDescent="0.3">
      <c r="A6" s="6" t="s">
        <v>8</v>
      </c>
      <c r="B6" s="7">
        <v>9789635723089</v>
      </c>
      <c r="C6" s="7" t="s">
        <v>434</v>
      </c>
      <c r="D6" s="6" t="s">
        <v>9</v>
      </c>
      <c r="E6" s="6"/>
      <c r="F6" s="6">
        <v>2</v>
      </c>
      <c r="G6" s="8">
        <v>4999</v>
      </c>
      <c r="H6" s="11">
        <f t="shared" si="0"/>
        <v>4760.9523809523807</v>
      </c>
      <c r="I6" s="11">
        <f t="shared" si="1"/>
        <v>2618.5238095238096</v>
      </c>
      <c r="J6" s="10">
        <v>0.2</v>
      </c>
      <c r="K6" s="8">
        <f>G6-(G6*J6)</f>
        <v>3999.2</v>
      </c>
      <c r="L6" s="9"/>
    </row>
    <row r="7" spans="1:13" x14ac:dyDescent="0.3">
      <c r="A7" s="6" t="s">
        <v>10</v>
      </c>
      <c r="B7" s="7">
        <v>9789635725786</v>
      </c>
      <c r="C7" s="7" t="s">
        <v>435</v>
      </c>
      <c r="D7" s="6" t="s">
        <v>11</v>
      </c>
      <c r="E7" s="6"/>
      <c r="F7" s="6">
        <v>2</v>
      </c>
      <c r="G7" s="8">
        <v>5499</v>
      </c>
      <c r="H7" s="11">
        <f t="shared" si="0"/>
        <v>5237.1428571428569</v>
      </c>
      <c r="I7" s="11">
        <f t="shared" si="1"/>
        <v>2880.4285714285716</v>
      </c>
      <c r="J7" s="10">
        <v>0.1</v>
      </c>
      <c r="K7" s="8">
        <f>G7-(G7*J7)</f>
        <v>4949.1000000000004</v>
      </c>
      <c r="L7" s="9">
        <v>46221</v>
      </c>
    </row>
    <row r="8" spans="1:13" x14ac:dyDescent="0.3">
      <c r="A8" s="6" t="s">
        <v>12</v>
      </c>
      <c r="B8" s="7">
        <v>9789635725113</v>
      </c>
      <c r="C8" s="7" t="s">
        <v>436</v>
      </c>
      <c r="D8" s="6" t="s">
        <v>13</v>
      </c>
      <c r="E8" s="6"/>
      <c r="F8" s="6">
        <v>2</v>
      </c>
      <c r="G8" s="8">
        <v>4999</v>
      </c>
      <c r="H8" s="11">
        <f t="shared" si="0"/>
        <v>4760.9523809523807</v>
      </c>
      <c r="I8" s="11">
        <f t="shared" si="1"/>
        <v>2618.5238095238096</v>
      </c>
      <c r="J8" s="10">
        <v>0.2</v>
      </c>
      <c r="K8" s="8">
        <f>G8-(G8*J8)</f>
        <v>3999.2</v>
      </c>
      <c r="L8" s="9"/>
    </row>
    <row r="9" spans="1:13" x14ac:dyDescent="0.3">
      <c r="A9" s="6" t="s">
        <v>14</v>
      </c>
      <c r="B9" s="7">
        <v>9789635725809</v>
      </c>
      <c r="C9" s="7" t="s">
        <v>437</v>
      </c>
      <c r="D9" s="6" t="s">
        <v>15</v>
      </c>
      <c r="E9" s="6"/>
      <c r="F9" s="6">
        <v>2</v>
      </c>
      <c r="G9" s="8">
        <v>5999</v>
      </c>
      <c r="H9" s="11">
        <f t="shared" si="0"/>
        <v>5713.333333333333</v>
      </c>
      <c r="I9" s="11">
        <f t="shared" si="1"/>
        <v>3142.3333333333335</v>
      </c>
      <c r="J9" s="10">
        <v>0.1</v>
      </c>
      <c r="K9" s="8">
        <f>G9-(G9*J9)</f>
        <v>5399.1</v>
      </c>
      <c r="L9" s="9">
        <v>46334</v>
      </c>
    </row>
    <row r="10" spans="1:13" x14ac:dyDescent="0.3">
      <c r="A10" s="6" t="s">
        <v>16</v>
      </c>
      <c r="B10" s="7">
        <v>9789635723188</v>
      </c>
      <c r="C10" s="7" t="s">
        <v>438</v>
      </c>
      <c r="D10" s="6" t="s">
        <v>17</v>
      </c>
      <c r="E10" s="6"/>
      <c r="F10" s="6">
        <v>2</v>
      </c>
      <c r="G10" s="8">
        <v>4999</v>
      </c>
      <c r="H10" s="11">
        <f t="shared" si="0"/>
        <v>4760.9523809523807</v>
      </c>
      <c r="I10" s="11">
        <f t="shared" si="1"/>
        <v>2618.5238095238096</v>
      </c>
      <c r="J10" s="10">
        <v>0.2</v>
      </c>
      <c r="K10" s="8">
        <f>G10-(G10*J10)</f>
        <v>3999.2</v>
      </c>
      <c r="L10" s="9"/>
    </row>
    <row r="11" spans="1:13" x14ac:dyDescent="0.3">
      <c r="A11" s="6" t="s">
        <v>19</v>
      </c>
      <c r="B11" s="7">
        <v>9789635724697</v>
      </c>
      <c r="C11" s="7" t="s">
        <v>439</v>
      </c>
      <c r="D11" s="6" t="s">
        <v>18</v>
      </c>
      <c r="E11" s="6"/>
      <c r="F11" s="6">
        <v>5</v>
      </c>
      <c r="G11" s="8">
        <v>5999</v>
      </c>
      <c r="H11" s="11">
        <f t="shared" si="0"/>
        <v>5713.333333333333</v>
      </c>
      <c r="I11" s="11">
        <f t="shared" si="1"/>
        <v>3142.3333333333335</v>
      </c>
      <c r="J11" s="10">
        <v>0.2</v>
      </c>
      <c r="K11" s="8">
        <f>G11-(G11*J11)</f>
        <v>4799.2</v>
      </c>
      <c r="L11" s="9"/>
    </row>
    <row r="12" spans="1:13" x14ac:dyDescent="0.3">
      <c r="A12" s="6" t="s">
        <v>20</v>
      </c>
      <c r="B12" s="7">
        <v>9789635724369</v>
      </c>
      <c r="C12" s="7" t="s">
        <v>440</v>
      </c>
      <c r="D12" s="6" t="s">
        <v>21</v>
      </c>
      <c r="E12" s="6"/>
      <c r="F12" s="6">
        <v>2</v>
      </c>
      <c r="G12" s="8">
        <v>5999</v>
      </c>
      <c r="H12" s="11">
        <f t="shared" si="0"/>
        <v>5713.333333333333</v>
      </c>
      <c r="I12" s="11">
        <f t="shared" si="1"/>
        <v>3142.3333333333335</v>
      </c>
      <c r="J12" s="10">
        <v>0.2</v>
      </c>
      <c r="K12" s="8">
        <f>G12-(G12*J12)</f>
        <v>4799.2</v>
      </c>
      <c r="L12" s="9"/>
    </row>
    <row r="13" spans="1:13" x14ac:dyDescent="0.3">
      <c r="A13" s="6" t="s">
        <v>22</v>
      </c>
      <c r="B13" s="7">
        <v>9789635726110</v>
      </c>
      <c r="C13" s="7" t="s">
        <v>434</v>
      </c>
      <c r="D13" s="6" t="s">
        <v>23</v>
      </c>
      <c r="E13" s="6"/>
      <c r="F13" s="6">
        <v>3</v>
      </c>
      <c r="G13" s="8">
        <v>5999</v>
      </c>
      <c r="H13" s="11">
        <f t="shared" si="0"/>
        <v>5713.333333333333</v>
      </c>
      <c r="I13" s="11">
        <f t="shared" si="1"/>
        <v>3142.3333333333335</v>
      </c>
      <c r="J13" s="10">
        <v>0.2</v>
      </c>
      <c r="K13" s="8">
        <f>G13-(G13*J13)</f>
        <v>4799.2</v>
      </c>
      <c r="L13" s="9"/>
    </row>
    <row r="14" spans="1:13" x14ac:dyDescent="0.3">
      <c r="A14" s="6" t="s">
        <v>24</v>
      </c>
      <c r="B14" s="7">
        <v>9789635723614</v>
      </c>
      <c r="C14" s="7" t="s">
        <v>441</v>
      </c>
      <c r="D14" s="6" t="s">
        <v>25</v>
      </c>
      <c r="E14" s="6"/>
      <c r="F14" s="6">
        <v>2</v>
      </c>
      <c r="G14" s="8">
        <v>5999</v>
      </c>
      <c r="H14" s="11">
        <f t="shared" si="0"/>
        <v>5713.333333333333</v>
      </c>
      <c r="I14" s="11">
        <f t="shared" si="1"/>
        <v>3142.3333333333335</v>
      </c>
      <c r="J14" s="10">
        <v>0.2</v>
      </c>
      <c r="K14" s="8">
        <f>G14-(G14*J14)</f>
        <v>4799.2</v>
      </c>
      <c r="L14" s="9"/>
    </row>
    <row r="15" spans="1:13" x14ac:dyDescent="0.3">
      <c r="A15" s="6" t="s">
        <v>26</v>
      </c>
      <c r="B15" s="7">
        <v>9789635722600</v>
      </c>
      <c r="C15" s="7" t="s">
        <v>442</v>
      </c>
      <c r="D15" s="6" t="s">
        <v>27</v>
      </c>
      <c r="E15" s="6"/>
      <c r="F15" s="6">
        <v>2</v>
      </c>
      <c r="G15" s="8">
        <v>4499</v>
      </c>
      <c r="H15" s="11">
        <f t="shared" si="0"/>
        <v>4284.7619047619046</v>
      </c>
      <c r="I15" s="11">
        <f t="shared" si="1"/>
        <v>2356.6190476190477</v>
      </c>
      <c r="J15" s="10">
        <v>0.2</v>
      </c>
      <c r="K15" s="8">
        <f>G15-(G15*J15)</f>
        <v>3599.2</v>
      </c>
      <c r="L15" s="9"/>
    </row>
    <row r="16" spans="1:13" x14ac:dyDescent="0.3">
      <c r="A16" s="6" t="s">
        <v>28</v>
      </c>
      <c r="B16" s="7">
        <v>9789635726721</v>
      </c>
      <c r="C16" s="7" t="s">
        <v>443</v>
      </c>
      <c r="D16" s="6" t="s">
        <v>29</v>
      </c>
      <c r="E16" s="6"/>
      <c r="F16" s="6">
        <v>2</v>
      </c>
      <c r="G16" s="8">
        <v>4999</v>
      </c>
      <c r="H16" s="11">
        <f t="shared" si="0"/>
        <v>4760.9523809523807</v>
      </c>
      <c r="I16" s="11">
        <f t="shared" si="1"/>
        <v>2618.5238095238096</v>
      </c>
      <c r="J16" s="10">
        <v>0.2</v>
      </c>
      <c r="K16" s="8">
        <f>G16-(G16*J16)</f>
        <v>3999.2</v>
      </c>
      <c r="L16" s="9"/>
    </row>
    <row r="17" spans="1:12" x14ac:dyDescent="0.3">
      <c r="A17" s="6" t="s">
        <v>30</v>
      </c>
      <c r="B17" s="7">
        <v>9789635720811</v>
      </c>
      <c r="C17" s="7" t="s">
        <v>444</v>
      </c>
      <c r="D17" s="6" t="s">
        <v>31</v>
      </c>
      <c r="E17" s="6"/>
      <c r="F17" s="6">
        <v>2</v>
      </c>
      <c r="G17" s="8">
        <v>4499</v>
      </c>
      <c r="H17" s="11">
        <f t="shared" si="0"/>
        <v>4284.7619047619046</v>
      </c>
      <c r="I17" s="11">
        <f t="shared" si="1"/>
        <v>2356.6190476190477</v>
      </c>
      <c r="J17" s="10">
        <v>0.2</v>
      </c>
      <c r="K17" s="8">
        <f>G17-(G17*J17)</f>
        <v>3599.2</v>
      </c>
      <c r="L17" s="9"/>
    </row>
    <row r="18" spans="1:12" x14ac:dyDescent="0.3">
      <c r="A18" s="6" t="s">
        <v>32</v>
      </c>
      <c r="B18" s="7">
        <v>9789635725182</v>
      </c>
      <c r="C18" s="7" t="s">
        <v>445</v>
      </c>
      <c r="D18" s="6" t="s">
        <v>33</v>
      </c>
      <c r="E18" s="6"/>
      <c r="F18" s="6">
        <v>2</v>
      </c>
      <c r="G18" s="8">
        <v>5999</v>
      </c>
      <c r="H18" s="11">
        <f t="shared" si="0"/>
        <v>5713.333333333333</v>
      </c>
      <c r="I18" s="11">
        <f t="shared" si="1"/>
        <v>3142.3333333333335</v>
      </c>
      <c r="J18" s="10">
        <v>0.1</v>
      </c>
      <c r="K18" s="8">
        <f>G18-(G18*J18)</f>
        <v>5399.1</v>
      </c>
      <c r="L18" s="9">
        <v>46326</v>
      </c>
    </row>
    <row r="19" spans="1:12" x14ac:dyDescent="0.3">
      <c r="A19" s="6" t="s">
        <v>34</v>
      </c>
      <c r="B19" s="7">
        <v>9789635726196</v>
      </c>
      <c r="C19" s="7" t="s">
        <v>447</v>
      </c>
      <c r="D19" s="6" t="s">
        <v>35</v>
      </c>
      <c r="E19" s="6"/>
      <c r="F19" s="6">
        <v>2</v>
      </c>
      <c r="G19" s="8">
        <v>6999</v>
      </c>
      <c r="H19" s="11">
        <f t="shared" si="0"/>
        <v>6665.7142857142853</v>
      </c>
      <c r="I19" s="11">
        <f t="shared" si="1"/>
        <v>3666.1428571428573</v>
      </c>
      <c r="J19" s="10">
        <v>0.1</v>
      </c>
      <c r="K19" s="8">
        <f>G19-(G19*J19)</f>
        <v>6299.1</v>
      </c>
      <c r="L19" s="9">
        <v>46350</v>
      </c>
    </row>
    <row r="20" spans="1:12" x14ac:dyDescent="0.3">
      <c r="A20" s="6" t="s">
        <v>36</v>
      </c>
      <c r="B20" s="7">
        <v>9789635725069</v>
      </c>
      <c r="C20" s="7" t="s">
        <v>448</v>
      </c>
      <c r="D20" s="6" t="s">
        <v>37</v>
      </c>
      <c r="E20" s="6"/>
      <c r="F20" s="6">
        <v>2</v>
      </c>
      <c r="G20" s="8">
        <v>5999</v>
      </c>
      <c r="H20" s="11">
        <f t="shared" si="0"/>
        <v>5713.333333333333</v>
      </c>
      <c r="I20" s="11">
        <f t="shared" si="1"/>
        <v>3142.3333333333335</v>
      </c>
      <c r="J20" s="10">
        <v>0.2</v>
      </c>
      <c r="K20" s="8">
        <f>G20-(G20*J20)</f>
        <v>4799.2</v>
      </c>
      <c r="L20" s="9"/>
    </row>
    <row r="21" spans="1:12" x14ac:dyDescent="0.3">
      <c r="A21" s="6" t="s">
        <v>38</v>
      </c>
      <c r="B21" s="7">
        <v>9789635724512</v>
      </c>
      <c r="C21" s="7" t="s">
        <v>449</v>
      </c>
      <c r="D21" s="6" t="s">
        <v>39</v>
      </c>
      <c r="E21" s="6"/>
      <c r="F21" s="6">
        <v>2</v>
      </c>
      <c r="G21" s="8">
        <v>5999</v>
      </c>
      <c r="H21" s="11">
        <f t="shared" si="0"/>
        <v>5713.333333333333</v>
      </c>
      <c r="I21" s="11">
        <f t="shared" si="1"/>
        <v>3142.3333333333335</v>
      </c>
      <c r="J21" s="10">
        <v>0.2</v>
      </c>
      <c r="K21" s="8">
        <f>G21-(G21*J21)</f>
        <v>4799.2</v>
      </c>
      <c r="L21" s="9"/>
    </row>
    <row r="22" spans="1:12" x14ac:dyDescent="0.3">
      <c r="A22" s="6" t="s">
        <v>40</v>
      </c>
      <c r="B22" s="7">
        <v>9789635722716</v>
      </c>
      <c r="C22" s="7" t="s">
        <v>450</v>
      </c>
      <c r="D22" s="6" t="s">
        <v>41</v>
      </c>
      <c r="E22" s="6"/>
      <c r="F22" s="6">
        <v>2</v>
      </c>
      <c r="G22" s="8">
        <v>4999</v>
      </c>
      <c r="H22" s="11">
        <f t="shared" si="0"/>
        <v>4760.9523809523807</v>
      </c>
      <c r="I22" s="11">
        <f t="shared" si="1"/>
        <v>2618.5238095238096</v>
      </c>
      <c r="J22" s="10">
        <v>0.2</v>
      </c>
      <c r="K22" s="8">
        <f>G22-(G22*J22)</f>
        <v>3999.2</v>
      </c>
      <c r="L22" s="9"/>
    </row>
    <row r="23" spans="1:12" x14ac:dyDescent="0.3">
      <c r="A23" s="6" t="s">
        <v>43</v>
      </c>
      <c r="B23" s="7">
        <v>9789635727278</v>
      </c>
      <c r="C23" s="7" t="s">
        <v>446</v>
      </c>
      <c r="D23" s="6" t="s">
        <v>42</v>
      </c>
      <c r="E23" s="6"/>
      <c r="F23" s="6">
        <v>2</v>
      </c>
      <c r="G23" s="8">
        <v>5999</v>
      </c>
      <c r="H23" s="11">
        <f t="shared" si="0"/>
        <v>5713.333333333333</v>
      </c>
      <c r="I23" s="11">
        <f t="shared" si="1"/>
        <v>3142.3333333333335</v>
      </c>
      <c r="J23" s="10">
        <v>0.2</v>
      </c>
      <c r="K23" s="8">
        <f>G23-(G23*J23)</f>
        <v>4799.2</v>
      </c>
      <c r="L23" s="9"/>
    </row>
    <row r="24" spans="1:12" x14ac:dyDescent="0.3">
      <c r="A24" s="6" t="s">
        <v>44</v>
      </c>
      <c r="B24" s="7">
        <v>9789635725267</v>
      </c>
      <c r="C24" s="7" t="s">
        <v>438</v>
      </c>
      <c r="D24" s="6" t="s">
        <v>45</v>
      </c>
      <c r="E24" s="6"/>
      <c r="F24" s="6">
        <v>2</v>
      </c>
      <c r="G24" s="8">
        <v>5999</v>
      </c>
      <c r="H24" s="11">
        <f t="shared" si="0"/>
        <v>5713.333333333333</v>
      </c>
      <c r="I24" s="11">
        <f t="shared" si="1"/>
        <v>3142.3333333333335</v>
      </c>
      <c r="J24" s="10">
        <v>0.2</v>
      </c>
      <c r="K24" s="8">
        <f>G24-(G24*J24)</f>
        <v>4799.2</v>
      </c>
      <c r="L24" s="9"/>
    </row>
    <row r="25" spans="1:12" x14ac:dyDescent="0.3">
      <c r="A25" s="6" t="s">
        <v>46</v>
      </c>
      <c r="B25" s="7">
        <v>9789635725281</v>
      </c>
      <c r="C25" s="7" t="s">
        <v>438</v>
      </c>
      <c r="D25" s="6" t="s">
        <v>47</v>
      </c>
      <c r="E25" s="6"/>
      <c r="F25" s="6">
        <v>2</v>
      </c>
      <c r="G25" s="8">
        <v>5999</v>
      </c>
      <c r="H25" s="11">
        <f t="shared" si="0"/>
        <v>5713.333333333333</v>
      </c>
      <c r="I25" s="11">
        <f t="shared" si="1"/>
        <v>3142.3333333333335</v>
      </c>
      <c r="J25" s="10">
        <v>0.2</v>
      </c>
      <c r="K25" s="8">
        <f>G25-(G25*J25)</f>
        <v>4799.2</v>
      </c>
      <c r="L25" s="9"/>
    </row>
    <row r="26" spans="1:12" x14ac:dyDescent="0.3">
      <c r="A26" s="6" t="s">
        <v>48</v>
      </c>
      <c r="B26" s="7">
        <v>9789635725946</v>
      </c>
      <c r="C26" s="7" t="s">
        <v>433</v>
      </c>
      <c r="D26" s="6" t="s">
        <v>49</v>
      </c>
      <c r="E26" s="6"/>
      <c r="F26" s="6">
        <v>2</v>
      </c>
      <c r="G26" s="8">
        <v>5999</v>
      </c>
      <c r="H26" s="11">
        <f t="shared" si="0"/>
        <v>5713.333333333333</v>
      </c>
      <c r="I26" s="11">
        <f t="shared" si="1"/>
        <v>3142.3333333333335</v>
      </c>
      <c r="J26" s="10">
        <v>0.2</v>
      </c>
      <c r="K26" s="8">
        <f>G26-(G26*J26)</f>
        <v>4799.2</v>
      </c>
      <c r="L26" s="9"/>
    </row>
    <row r="27" spans="1:12" x14ac:dyDescent="0.3">
      <c r="A27" s="6" t="s">
        <v>50</v>
      </c>
      <c r="B27" s="7">
        <v>9789635723010</v>
      </c>
      <c r="C27" s="7" t="s">
        <v>451</v>
      </c>
      <c r="D27" s="6" t="s">
        <v>51</v>
      </c>
      <c r="E27" s="6"/>
      <c r="F27" s="6">
        <v>2</v>
      </c>
      <c r="G27" s="8">
        <v>5999</v>
      </c>
      <c r="H27" s="11">
        <f t="shared" si="0"/>
        <v>5713.333333333333</v>
      </c>
      <c r="I27" s="11">
        <f t="shared" si="1"/>
        <v>3142.3333333333335</v>
      </c>
      <c r="J27" s="10">
        <v>0.2</v>
      </c>
      <c r="K27" s="8">
        <f>G27-(G27*J27)</f>
        <v>4799.2</v>
      </c>
      <c r="L27" s="9"/>
    </row>
    <row r="28" spans="1:12" x14ac:dyDescent="0.3">
      <c r="A28" s="6" t="s">
        <v>52</v>
      </c>
      <c r="B28" s="7">
        <v>9789635726318</v>
      </c>
      <c r="C28" s="7" t="s">
        <v>452</v>
      </c>
      <c r="D28" s="6" t="s">
        <v>53</v>
      </c>
      <c r="E28" s="6"/>
      <c r="F28" s="6">
        <v>3</v>
      </c>
      <c r="G28" s="8">
        <v>4999</v>
      </c>
      <c r="H28" s="11">
        <f t="shared" si="0"/>
        <v>4760.9523809523807</v>
      </c>
      <c r="I28" s="11">
        <f t="shared" si="1"/>
        <v>2618.5238095238096</v>
      </c>
      <c r="J28" s="10">
        <v>0.2</v>
      </c>
      <c r="K28" s="8">
        <f>G28-(G28*J28)</f>
        <v>3999.2</v>
      </c>
      <c r="L28" s="9"/>
    </row>
    <row r="29" spans="1:12" x14ac:dyDescent="0.3">
      <c r="A29" s="6" t="s">
        <v>54</v>
      </c>
      <c r="B29" s="7">
        <v>9789635723966</v>
      </c>
      <c r="C29" s="7" t="s">
        <v>453</v>
      </c>
      <c r="D29" s="6" t="s">
        <v>55</v>
      </c>
      <c r="E29" s="6"/>
      <c r="F29" s="6">
        <v>2</v>
      </c>
      <c r="G29" s="8">
        <v>4999</v>
      </c>
      <c r="H29" s="11">
        <f t="shared" si="0"/>
        <v>4760.9523809523807</v>
      </c>
      <c r="I29" s="11">
        <f t="shared" si="1"/>
        <v>2618.5238095238096</v>
      </c>
      <c r="J29" s="10">
        <v>0.2</v>
      </c>
      <c r="K29" s="8">
        <f>G29-(G29*J29)</f>
        <v>3999.2</v>
      </c>
      <c r="L29" s="9"/>
    </row>
    <row r="30" spans="1:12" x14ac:dyDescent="0.3">
      <c r="A30" s="6" t="s">
        <v>56</v>
      </c>
      <c r="B30" s="7">
        <v>9789635725243</v>
      </c>
      <c r="C30" s="7" t="s">
        <v>438</v>
      </c>
      <c r="D30" s="6" t="s">
        <v>57</v>
      </c>
      <c r="E30" s="6"/>
      <c r="F30" s="6">
        <v>2</v>
      </c>
      <c r="G30" s="8">
        <v>5999</v>
      </c>
      <c r="H30" s="11">
        <f t="shared" si="0"/>
        <v>5713.333333333333</v>
      </c>
      <c r="I30" s="11">
        <f t="shared" si="1"/>
        <v>3142.3333333333335</v>
      </c>
      <c r="J30" s="10">
        <v>0.2</v>
      </c>
      <c r="K30" s="8">
        <f>G30-(G30*J30)</f>
        <v>4799.2</v>
      </c>
      <c r="L30" s="9"/>
    </row>
    <row r="31" spans="1:12" x14ac:dyDescent="0.3">
      <c r="A31" s="6" t="s">
        <v>59</v>
      </c>
      <c r="B31" s="7">
        <v>9789635725366</v>
      </c>
      <c r="C31" s="7" t="s">
        <v>454</v>
      </c>
      <c r="D31" s="6" t="s">
        <v>58</v>
      </c>
      <c r="E31" s="6"/>
      <c r="F31" s="6">
        <v>2</v>
      </c>
      <c r="G31" s="8">
        <v>4999</v>
      </c>
      <c r="H31" s="11">
        <f t="shared" si="0"/>
        <v>4760.9523809523807</v>
      </c>
      <c r="I31" s="11">
        <f t="shared" si="1"/>
        <v>2618.5238095238096</v>
      </c>
      <c r="J31" s="10">
        <v>0.2</v>
      </c>
      <c r="K31" s="8">
        <f>G31-(G31*J31)</f>
        <v>3999.2</v>
      </c>
      <c r="L31" s="9"/>
    </row>
    <row r="32" spans="1:12" x14ac:dyDescent="0.3">
      <c r="A32" s="6" t="s">
        <v>60</v>
      </c>
      <c r="B32" s="7">
        <v>9789635722877</v>
      </c>
      <c r="C32" s="7" t="s">
        <v>455</v>
      </c>
      <c r="D32" s="6" t="s">
        <v>61</v>
      </c>
      <c r="E32" s="6"/>
      <c r="F32" s="6">
        <v>2</v>
      </c>
      <c r="G32" s="8">
        <v>4499</v>
      </c>
      <c r="H32" s="11">
        <f t="shared" si="0"/>
        <v>4284.7619047619046</v>
      </c>
      <c r="I32" s="11">
        <f t="shared" si="1"/>
        <v>2356.6190476190477</v>
      </c>
      <c r="J32" s="10">
        <v>0.2</v>
      </c>
      <c r="K32" s="8">
        <f>G32-(G32*J32)</f>
        <v>3599.2</v>
      </c>
      <c r="L32" s="9"/>
    </row>
    <row r="33" spans="1:12" x14ac:dyDescent="0.3">
      <c r="A33" s="6" t="s">
        <v>62</v>
      </c>
      <c r="B33" s="7">
        <v>9789635720194</v>
      </c>
      <c r="C33" s="7" t="s">
        <v>456</v>
      </c>
      <c r="D33" s="6" t="s">
        <v>63</v>
      </c>
      <c r="E33" s="6"/>
      <c r="F33" s="6">
        <v>2</v>
      </c>
      <c r="G33" s="8">
        <v>3999</v>
      </c>
      <c r="H33" s="11">
        <f t="shared" si="0"/>
        <v>3808.5714285714284</v>
      </c>
      <c r="I33" s="11">
        <f t="shared" si="1"/>
        <v>2094.7142857142858</v>
      </c>
      <c r="J33" s="10">
        <v>0.2</v>
      </c>
      <c r="K33" s="8">
        <f>G33-(G33*J33)</f>
        <v>3199.2</v>
      </c>
      <c r="L33" s="9"/>
    </row>
    <row r="34" spans="1:12" x14ac:dyDescent="0.3">
      <c r="A34" s="6" t="s">
        <v>64</v>
      </c>
      <c r="B34" s="7">
        <v>9789635722433</v>
      </c>
      <c r="C34" s="7" t="s">
        <v>457</v>
      </c>
      <c r="D34" s="6" t="s">
        <v>65</v>
      </c>
      <c r="E34" s="6"/>
      <c r="F34" s="6">
        <v>2</v>
      </c>
      <c r="G34" s="8">
        <v>4999</v>
      </c>
      <c r="H34" s="11">
        <f t="shared" si="0"/>
        <v>4760.9523809523807</v>
      </c>
      <c r="I34" s="11">
        <f t="shared" si="1"/>
        <v>2618.5238095238096</v>
      </c>
      <c r="J34" s="10">
        <v>0.2</v>
      </c>
      <c r="K34" s="8">
        <f>G34-(G34*J34)</f>
        <v>3999.2</v>
      </c>
      <c r="L34" s="9"/>
    </row>
    <row r="35" spans="1:12" x14ac:dyDescent="0.3">
      <c r="A35" s="6" t="s">
        <v>66</v>
      </c>
      <c r="B35" s="7">
        <v>9789635723294</v>
      </c>
      <c r="C35" s="7" t="s">
        <v>447</v>
      </c>
      <c r="D35" s="6" t="s">
        <v>67</v>
      </c>
      <c r="E35" s="6"/>
      <c r="F35" s="6">
        <v>2</v>
      </c>
      <c r="G35" s="8">
        <v>4999</v>
      </c>
      <c r="H35" s="11">
        <f t="shared" si="0"/>
        <v>4760.9523809523807</v>
      </c>
      <c r="I35" s="11">
        <f t="shared" si="1"/>
        <v>2618.5238095238096</v>
      </c>
      <c r="J35" s="10">
        <v>0.2</v>
      </c>
      <c r="K35" s="8">
        <f>G35-(G35*J35)</f>
        <v>3999.2</v>
      </c>
      <c r="L35" s="9"/>
    </row>
    <row r="36" spans="1:12" x14ac:dyDescent="0.3">
      <c r="A36" s="6" t="s">
        <v>68</v>
      </c>
      <c r="B36" s="7">
        <v>9789635725656</v>
      </c>
      <c r="C36" s="7" t="s">
        <v>458</v>
      </c>
      <c r="D36" s="6" t="s">
        <v>69</v>
      </c>
      <c r="E36" s="6"/>
      <c r="F36" s="6">
        <v>2</v>
      </c>
      <c r="G36" s="8">
        <v>5999</v>
      </c>
      <c r="H36" s="11">
        <f t="shared" si="0"/>
        <v>5713.333333333333</v>
      </c>
      <c r="I36" s="11">
        <f t="shared" si="1"/>
        <v>3142.3333333333335</v>
      </c>
      <c r="J36" s="10">
        <v>0.1</v>
      </c>
      <c r="K36" s="8">
        <f>G36-(G36*J36)</f>
        <v>5399.1</v>
      </c>
      <c r="L36" s="9">
        <v>46356</v>
      </c>
    </row>
    <row r="37" spans="1:12" x14ac:dyDescent="0.3">
      <c r="A37" s="6" t="s">
        <v>70</v>
      </c>
      <c r="B37" s="7">
        <v>9789635724031</v>
      </c>
      <c r="C37" s="7" t="s">
        <v>459</v>
      </c>
      <c r="D37" s="6" t="s">
        <v>71</v>
      </c>
      <c r="E37" s="6"/>
      <c r="F37" s="6">
        <v>5</v>
      </c>
      <c r="G37" s="8">
        <v>3999</v>
      </c>
      <c r="H37" s="11">
        <f t="shared" si="0"/>
        <v>3808.5714285714284</v>
      </c>
      <c r="I37" s="11">
        <f t="shared" si="1"/>
        <v>2094.7142857142858</v>
      </c>
      <c r="J37" s="10">
        <v>0.2</v>
      </c>
      <c r="K37" s="8">
        <f>G37-(G37*J37)</f>
        <v>3199.2</v>
      </c>
      <c r="L37" s="9"/>
    </row>
    <row r="38" spans="1:12" x14ac:dyDescent="0.3">
      <c r="A38" s="6" t="s">
        <v>72</v>
      </c>
      <c r="B38" s="7">
        <v>9789635724017</v>
      </c>
      <c r="C38" s="7" t="s">
        <v>459</v>
      </c>
      <c r="D38" s="6" t="s">
        <v>73</v>
      </c>
      <c r="E38" s="6"/>
      <c r="F38" s="6">
        <v>2</v>
      </c>
      <c r="G38" s="8">
        <v>3999</v>
      </c>
      <c r="H38" s="11">
        <f t="shared" si="0"/>
        <v>3808.5714285714284</v>
      </c>
      <c r="I38" s="11">
        <f t="shared" si="1"/>
        <v>2094.7142857142858</v>
      </c>
      <c r="J38" s="10">
        <v>0.2</v>
      </c>
      <c r="K38" s="8">
        <f>G38-(G38*J38)</f>
        <v>3199.2</v>
      </c>
      <c r="L38" s="9"/>
    </row>
    <row r="39" spans="1:12" x14ac:dyDescent="0.3">
      <c r="A39" s="6" t="s">
        <v>74</v>
      </c>
      <c r="B39" s="7">
        <v>9789635720644</v>
      </c>
      <c r="C39" s="7" t="s">
        <v>460</v>
      </c>
      <c r="D39" s="6" t="s">
        <v>75</v>
      </c>
      <c r="E39" s="6"/>
      <c r="F39" s="6">
        <v>2</v>
      </c>
      <c r="G39" s="8">
        <v>5999</v>
      </c>
      <c r="H39" s="11">
        <f t="shared" si="0"/>
        <v>5713.333333333333</v>
      </c>
      <c r="I39" s="11">
        <f t="shared" si="1"/>
        <v>3142.3333333333335</v>
      </c>
      <c r="J39" s="10">
        <v>0.2</v>
      </c>
      <c r="K39" s="8">
        <f>G39-(G39*J39)</f>
        <v>4799.2</v>
      </c>
      <c r="L39" s="9"/>
    </row>
    <row r="40" spans="1:12" x14ac:dyDescent="0.3">
      <c r="A40" s="6" t="s">
        <v>76</v>
      </c>
      <c r="B40" s="7">
        <v>9789635722242</v>
      </c>
      <c r="C40" s="7" t="s">
        <v>461</v>
      </c>
      <c r="D40" s="6" t="s">
        <v>77</v>
      </c>
      <c r="E40" s="6"/>
      <c r="F40" s="6">
        <v>2</v>
      </c>
      <c r="G40" s="8">
        <v>5999</v>
      </c>
      <c r="H40" s="11">
        <f t="shared" si="0"/>
        <v>5713.333333333333</v>
      </c>
      <c r="I40" s="11">
        <f t="shared" si="1"/>
        <v>3142.3333333333335</v>
      </c>
      <c r="J40" s="10">
        <v>0.2</v>
      </c>
      <c r="K40" s="8">
        <f>G40-(G40*J40)</f>
        <v>4799.2</v>
      </c>
      <c r="L40" s="9"/>
    </row>
    <row r="41" spans="1:12" x14ac:dyDescent="0.3">
      <c r="A41" s="6" t="s">
        <v>78</v>
      </c>
      <c r="B41" s="7">
        <v>9789635726103</v>
      </c>
      <c r="C41" s="7" t="s">
        <v>462</v>
      </c>
      <c r="D41" s="6" t="s">
        <v>79</v>
      </c>
      <c r="E41" s="6"/>
      <c r="F41" s="6">
        <v>3</v>
      </c>
      <c r="G41" s="8">
        <v>5999</v>
      </c>
      <c r="H41" s="11">
        <f t="shared" si="0"/>
        <v>5713.333333333333</v>
      </c>
      <c r="I41" s="11">
        <f t="shared" si="1"/>
        <v>3142.3333333333335</v>
      </c>
      <c r="J41" s="10">
        <v>0.2</v>
      </c>
      <c r="K41" s="8">
        <f>G41-(G41*J41)</f>
        <v>4799.2</v>
      </c>
      <c r="L41" s="9"/>
    </row>
    <row r="42" spans="1:12" x14ac:dyDescent="0.3">
      <c r="A42" s="6" t="s">
        <v>80</v>
      </c>
      <c r="B42" s="7">
        <v>9789635724796</v>
      </c>
      <c r="C42" s="7" t="s">
        <v>463</v>
      </c>
      <c r="D42" s="6" t="s">
        <v>81</v>
      </c>
      <c r="E42" s="6"/>
      <c r="F42" s="6">
        <v>2</v>
      </c>
      <c r="G42" s="8">
        <v>5999</v>
      </c>
      <c r="H42" s="11">
        <f t="shared" si="0"/>
        <v>5713.333333333333</v>
      </c>
      <c r="I42" s="11">
        <f t="shared" si="1"/>
        <v>3142.3333333333335</v>
      </c>
      <c r="J42" s="10">
        <v>0.1</v>
      </c>
      <c r="K42" s="8">
        <f>G42-(G42*J42)</f>
        <v>5399.1</v>
      </c>
      <c r="L42" s="9">
        <v>46333</v>
      </c>
    </row>
    <row r="43" spans="1:12" x14ac:dyDescent="0.3">
      <c r="A43" s="6" t="s">
        <v>82</v>
      </c>
      <c r="B43" s="7">
        <v>9789635720330</v>
      </c>
      <c r="C43" s="7" t="s">
        <v>464</v>
      </c>
      <c r="D43" s="6" t="s">
        <v>83</v>
      </c>
      <c r="E43" s="6"/>
      <c r="F43" s="6">
        <v>2</v>
      </c>
      <c r="G43" s="8">
        <v>6499</v>
      </c>
      <c r="H43" s="11">
        <f t="shared" si="0"/>
        <v>6189.5238095238092</v>
      </c>
      <c r="I43" s="11">
        <f t="shared" si="1"/>
        <v>3404.2380952380954</v>
      </c>
      <c r="J43" s="10">
        <v>0.2</v>
      </c>
      <c r="K43" s="8">
        <f>G43-(G43*J43)</f>
        <v>5199.2</v>
      </c>
      <c r="L43" s="9"/>
    </row>
    <row r="44" spans="1:12" x14ac:dyDescent="0.3">
      <c r="A44" s="6" t="s">
        <v>84</v>
      </c>
      <c r="B44" s="7">
        <v>9789635725618</v>
      </c>
      <c r="C44" s="7" t="s">
        <v>465</v>
      </c>
      <c r="D44" s="6" t="s">
        <v>85</v>
      </c>
      <c r="E44" s="6"/>
      <c r="F44" s="6">
        <v>2</v>
      </c>
      <c r="G44" s="8">
        <v>5999</v>
      </c>
      <c r="H44" s="11">
        <f t="shared" si="0"/>
        <v>5713.333333333333</v>
      </c>
      <c r="I44" s="11">
        <f t="shared" si="1"/>
        <v>3142.3333333333335</v>
      </c>
      <c r="J44" s="10">
        <v>0.1</v>
      </c>
      <c r="K44" s="8">
        <f>G44-(G44*J44)</f>
        <v>5399.1</v>
      </c>
      <c r="L44" s="9">
        <v>46291</v>
      </c>
    </row>
    <row r="45" spans="1:12" x14ac:dyDescent="0.3">
      <c r="A45" s="6" t="s">
        <v>86</v>
      </c>
      <c r="B45" s="7">
        <v>9789635727292</v>
      </c>
      <c r="C45" s="7" t="s">
        <v>443</v>
      </c>
      <c r="D45" s="6" t="s">
        <v>87</v>
      </c>
      <c r="E45" s="6"/>
      <c r="F45" s="6">
        <v>2</v>
      </c>
      <c r="G45" s="8">
        <v>7999</v>
      </c>
      <c r="H45" s="11">
        <f t="shared" si="0"/>
        <v>7618.0952380952376</v>
      </c>
      <c r="I45" s="11">
        <f t="shared" si="1"/>
        <v>4189.9523809523807</v>
      </c>
      <c r="J45" s="10">
        <v>0.2</v>
      </c>
      <c r="K45" s="8">
        <f>G45-(G45*J45)</f>
        <v>6399.2</v>
      </c>
      <c r="L45" s="9"/>
    </row>
    <row r="46" spans="1:12" x14ac:dyDescent="0.3">
      <c r="A46" s="6" t="s">
        <v>89</v>
      </c>
      <c r="B46" s="7">
        <v>9789635727285</v>
      </c>
      <c r="C46" s="7" t="s">
        <v>462</v>
      </c>
      <c r="D46" s="6" t="s">
        <v>88</v>
      </c>
      <c r="E46" s="6"/>
      <c r="F46" s="6">
        <v>3</v>
      </c>
      <c r="G46" s="8">
        <v>5999</v>
      </c>
      <c r="H46" s="11">
        <f t="shared" si="0"/>
        <v>5713.333333333333</v>
      </c>
      <c r="I46" s="11">
        <f t="shared" si="1"/>
        <v>3142.3333333333335</v>
      </c>
      <c r="J46" s="10">
        <v>0.2</v>
      </c>
      <c r="K46" s="8">
        <f>G46-(G46*J46)</f>
        <v>4799.2</v>
      </c>
      <c r="L46" s="9"/>
    </row>
    <row r="47" spans="1:12" x14ac:dyDescent="0.3">
      <c r="A47" s="6" t="s">
        <v>90</v>
      </c>
      <c r="B47" s="7">
        <v>9789635725472</v>
      </c>
      <c r="C47" s="7" t="s">
        <v>466</v>
      </c>
      <c r="D47" s="6" t="s">
        <v>91</v>
      </c>
      <c r="E47" s="6"/>
      <c r="F47" s="6">
        <v>2</v>
      </c>
      <c r="G47" s="8">
        <v>5999</v>
      </c>
      <c r="H47" s="11">
        <f t="shared" si="0"/>
        <v>5713.333333333333</v>
      </c>
      <c r="I47" s="11">
        <f t="shared" si="1"/>
        <v>3142.3333333333335</v>
      </c>
      <c r="J47" s="10">
        <v>0.1</v>
      </c>
      <c r="K47" s="8">
        <f>G47-(G47*J47)</f>
        <v>5399.1</v>
      </c>
      <c r="L47" s="9">
        <v>46313</v>
      </c>
    </row>
    <row r="48" spans="1:12" x14ac:dyDescent="0.3">
      <c r="A48" s="6" t="s">
        <v>92</v>
      </c>
      <c r="B48" s="7">
        <v>9789635726349</v>
      </c>
      <c r="C48" s="7" t="s">
        <v>434</v>
      </c>
      <c r="D48" s="6" t="s">
        <v>93</v>
      </c>
      <c r="E48" s="6"/>
      <c r="F48" s="6">
        <v>3</v>
      </c>
      <c r="G48" s="8">
        <v>4999</v>
      </c>
      <c r="H48" s="11">
        <f t="shared" si="0"/>
        <v>4760.9523809523807</v>
      </c>
      <c r="I48" s="11">
        <f t="shared" si="1"/>
        <v>2618.5238095238096</v>
      </c>
      <c r="J48" s="10">
        <v>0.2</v>
      </c>
      <c r="K48" s="8">
        <f>G48-(G48*J48)</f>
        <v>3999.2</v>
      </c>
      <c r="L48" s="9"/>
    </row>
    <row r="49" spans="1:12" x14ac:dyDescent="0.3">
      <c r="A49" s="6" t="s">
        <v>94</v>
      </c>
      <c r="B49" s="7">
        <v>9789635723911</v>
      </c>
      <c r="C49" s="7" t="s">
        <v>434</v>
      </c>
      <c r="D49" s="6" t="s">
        <v>95</v>
      </c>
      <c r="E49" s="6"/>
      <c r="F49" s="6">
        <v>2</v>
      </c>
      <c r="G49" s="8">
        <v>6999</v>
      </c>
      <c r="H49" s="11">
        <f t="shared" si="0"/>
        <v>6665.7142857142853</v>
      </c>
      <c r="I49" s="11">
        <f t="shared" si="1"/>
        <v>3666.1428571428573</v>
      </c>
      <c r="J49" s="10">
        <v>0.2</v>
      </c>
      <c r="K49" s="8">
        <f>G49-(G49*J49)</f>
        <v>5599.2</v>
      </c>
      <c r="L49" s="9"/>
    </row>
    <row r="50" spans="1:12" x14ac:dyDescent="0.3">
      <c r="A50" s="6" t="s">
        <v>96</v>
      </c>
      <c r="B50" s="7">
        <v>9789635723980</v>
      </c>
      <c r="C50" s="7" t="s">
        <v>454</v>
      </c>
      <c r="D50" s="6" t="s">
        <v>97</v>
      </c>
      <c r="E50" s="6"/>
      <c r="F50" s="6">
        <v>2</v>
      </c>
      <c r="G50" s="8">
        <v>4999</v>
      </c>
      <c r="H50" s="11">
        <f t="shared" si="0"/>
        <v>4760.9523809523807</v>
      </c>
      <c r="I50" s="11">
        <f t="shared" si="1"/>
        <v>2618.5238095238096</v>
      </c>
      <c r="J50" s="10">
        <v>0.2</v>
      </c>
      <c r="K50" s="8">
        <f>G50-(G50*J50)</f>
        <v>3999.2</v>
      </c>
      <c r="L50" s="9"/>
    </row>
    <row r="51" spans="1:12" x14ac:dyDescent="0.3">
      <c r="A51" s="6" t="s">
        <v>98</v>
      </c>
      <c r="B51" s="7">
        <v>9789635721269</v>
      </c>
      <c r="C51" s="7" t="s">
        <v>467</v>
      </c>
      <c r="D51" s="6" t="s">
        <v>99</v>
      </c>
      <c r="E51" s="6"/>
      <c r="F51" s="6">
        <v>40</v>
      </c>
      <c r="G51" s="8">
        <v>6499</v>
      </c>
      <c r="H51" s="11">
        <f t="shared" si="0"/>
        <v>6189.5238095238092</v>
      </c>
      <c r="I51" s="11">
        <f t="shared" si="1"/>
        <v>3404.2380952380954</v>
      </c>
      <c r="J51" s="10">
        <v>0.2</v>
      </c>
      <c r="K51" s="8">
        <f>G51-(G51*J51)</f>
        <v>5199.2</v>
      </c>
      <c r="L51" s="9"/>
    </row>
    <row r="52" spans="1:12" x14ac:dyDescent="0.3">
      <c r="A52" s="6" t="s">
        <v>100</v>
      </c>
      <c r="B52" s="7">
        <v>9789635726158</v>
      </c>
      <c r="C52" s="7" t="s">
        <v>468</v>
      </c>
      <c r="D52" s="6" t="s">
        <v>101</v>
      </c>
      <c r="E52" s="6"/>
      <c r="F52" s="6">
        <v>2</v>
      </c>
      <c r="G52" s="8">
        <v>5999</v>
      </c>
      <c r="H52" s="11">
        <f t="shared" si="0"/>
        <v>5713.333333333333</v>
      </c>
      <c r="I52" s="11">
        <f t="shared" si="1"/>
        <v>3142.3333333333335</v>
      </c>
      <c r="J52" s="10">
        <v>0.1</v>
      </c>
      <c r="K52" s="8">
        <f>G52-(G52*J52)</f>
        <v>5399.1</v>
      </c>
      <c r="L52" s="9">
        <v>46291</v>
      </c>
    </row>
    <row r="53" spans="1:12" x14ac:dyDescent="0.3">
      <c r="A53" s="6" t="s">
        <v>102</v>
      </c>
      <c r="B53" s="7">
        <v>9789635721474</v>
      </c>
      <c r="C53" s="7" t="s">
        <v>469</v>
      </c>
      <c r="D53" s="6" t="s">
        <v>103</v>
      </c>
      <c r="E53" s="6">
        <v>3</v>
      </c>
      <c r="F53" s="6"/>
      <c r="G53" s="8">
        <v>3499</v>
      </c>
      <c r="H53" s="11">
        <f t="shared" si="0"/>
        <v>3332.3809523809523</v>
      </c>
      <c r="I53" s="11">
        <f>K53*0.55</f>
        <v>962.22500000000002</v>
      </c>
      <c r="J53" s="10">
        <v>0.5</v>
      </c>
      <c r="K53" s="8">
        <f>G53-(G53*J53)</f>
        <v>1749.5</v>
      </c>
      <c r="L53" s="9"/>
    </row>
    <row r="54" spans="1:12" x14ac:dyDescent="0.3">
      <c r="A54" s="6" t="s">
        <v>104</v>
      </c>
      <c r="B54" s="7">
        <v>9789635724321</v>
      </c>
      <c r="C54" s="7" t="s">
        <v>470</v>
      </c>
      <c r="D54" s="6" t="s">
        <v>105</v>
      </c>
      <c r="E54" s="6"/>
      <c r="F54" s="6">
        <v>2</v>
      </c>
      <c r="G54" s="8">
        <v>4500</v>
      </c>
      <c r="H54" s="11">
        <f t="shared" si="0"/>
        <v>4285.7142857142853</v>
      </c>
      <c r="I54" s="11">
        <f t="shared" si="1"/>
        <v>2357.1428571428573</v>
      </c>
      <c r="J54" s="10">
        <v>0.2</v>
      </c>
      <c r="K54" s="8">
        <f>G54-(G54*J54)</f>
        <v>3600</v>
      </c>
      <c r="L54" s="9"/>
    </row>
    <row r="55" spans="1:12" x14ac:dyDescent="0.3">
      <c r="A55" s="6" t="s">
        <v>106</v>
      </c>
      <c r="B55" s="7">
        <v>9789635723201</v>
      </c>
      <c r="C55" s="7" t="s">
        <v>438</v>
      </c>
      <c r="D55" s="6" t="s">
        <v>107</v>
      </c>
      <c r="E55" s="6"/>
      <c r="F55" s="6">
        <v>2</v>
      </c>
      <c r="G55" s="8">
        <v>4999</v>
      </c>
      <c r="H55" s="11">
        <f t="shared" si="0"/>
        <v>4760.9523809523807</v>
      </c>
      <c r="I55" s="11">
        <f t="shared" si="1"/>
        <v>2618.5238095238096</v>
      </c>
      <c r="J55" s="10">
        <v>0.2</v>
      </c>
      <c r="K55" s="8">
        <f>G55-(G55*J55)</f>
        <v>3999.2</v>
      </c>
      <c r="L55" s="9"/>
    </row>
    <row r="56" spans="1:12" x14ac:dyDescent="0.3">
      <c r="A56" s="6" t="s">
        <v>109</v>
      </c>
      <c r="B56" s="7">
        <v>9789635724529</v>
      </c>
      <c r="C56" s="7" t="s">
        <v>454</v>
      </c>
      <c r="D56" s="6" t="s">
        <v>108</v>
      </c>
      <c r="E56" s="6"/>
      <c r="F56" s="6">
        <v>2</v>
      </c>
      <c r="G56" s="8">
        <v>4999</v>
      </c>
      <c r="H56" s="11">
        <f t="shared" si="0"/>
        <v>4760.9523809523807</v>
      </c>
      <c r="I56" s="11">
        <f t="shared" si="1"/>
        <v>2618.5238095238096</v>
      </c>
      <c r="J56" s="10">
        <v>0.2</v>
      </c>
      <c r="K56" s="8">
        <f>G56-(G56*J56)</f>
        <v>3999.2</v>
      </c>
      <c r="L56" s="9"/>
    </row>
    <row r="57" spans="1:12" x14ac:dyDescent="0.3">
      <c r="A57" s="6" t="s">
        <v>110</v>
      </c>
      <c r="B57" s="7">
        <v>9789635723355</v>
      </c>
      <c r="C57" s="7" t="s">
        <v>471</v>
      </c>
      <c r="D57" s="6" t="s">
        <v>111</v>
      </c>
      <c r="E57" s="6"/>
      <c r="F57" s="6">
        <v>2</v>
      </c>
      <c r="G57" s="8">
        <v>4999</v>
      </c>
      <c r="H57" s="11">
        <f t="shared" si="0"/>
        <v>4760.9523809523807</v>
      </c>
      <c r="I57" s="11">
        <f t="shared" si="1"/>
        <v>2618.5238095238096</v>
      </c>
      <c r="J57" s="10">
        <v>0.2</v>
      </c>
      <c r="K57" s="8">
        <f>G57-(G57*J57)</f>
        <v>3999.2</v>
      </c>
      <c r="L57" s="9"/>
    </row>
    <row r="58" spans="1:12" x14ac:dyDescent="0.3">
      <c r="A58" s="6" t="s">
        <v>112</v>
      </c>
      <c r="B58" s="7">
        <v>9789635721528</v>
      </c>
      <c r="C58" s="7" t="s">
        <v>472</v>
      </c>
      <c r="D58" s="6" t="s">
        <v>113</v>
      </c>
      <c r="E58" s="6">
        <v>3</v>
      </c>
      <c r="F58" s="6"/>
      <c r="G58" s="8">
        <v>4999</v>
      </c>
      <c r="H58" s="11">
        <f t="shared" si="0"/>
        <v>4760.9523809523807</v>
      </c>
      <c r="I58" s="11">
        <f>K58*0.55</f>
        <v>1374.7250000000001</v>
      </c>
      <c r="J58" s="10">
        <v>0.5</v>
      </c>
      <c r="K58" s="8">
        <f>G58-(G58*J58)</f>
        <v>2499.5</v>
      </c>
      <c r="L58" s="9"/>
    </row>
    <row r="59" spans="1:12" x14ac:dyDescent="0.3">
      <c r="A59" s="6" t="s">
        <v>114</v>
      </c>
      <c r="B59" s="7">
        <v>9789635720347</v>
      </c>
      <c r="C59" s="7" t="s">
        <v>473</v>
      </c>
      <c r="D59" s="6" t="s">
        <v>115</v>
      </c>
      <c r="E59" s="6"/>
      <c r="F59" s="6">
        <v>2</v>
      </c>
      <c r="G59" s="8">
        <v>3999</v>
      </c>
      <c r="H59" s="11">
        <f t="shared" si="0"/>
        <v>3808.5714285714284</v>
      </c>
      <c r="I59" s="11">
        <f t="shared" si="1"/>
        <v>2094.7142857142858</v>
      </c>
      <c r="J59" s="10">
        <v>0.2</v>
      </c>
      <c r="K59" s="8">
        <f>G59-(G59*J59)</f>
        <v>3199.2</v>
      </c>
      <c r="L59" s="9"/>
    </row>
    <row r="60" spans="1:12" x14ac:dyDescent="0.3">
      <c r="A60" s="6" t="s">
        <v>116</v>
      </c>
      <c r="B60" s="7">
        <v>9789635721122</v>
      </c>
      <c r="C60" s="7" t="s">
        <v>431</v>
      </c>
      <c r="D60" s="6" t="s">
        <v>117</v>
      </c>
      <c r="E60" s="6"/>
      <c r="F60" s="6">
        <v>2</v>
      </c>
      <c r="G60" s="8">
        <v>5999</v>
      </c>
      <c r="H60" s="11">
        <f t="shared" si="0"/>
        <v>5713.333333333333</v>
      </c>
      <c r="I60" s="11">
        <f t="shared" si="1"/>
        <v>3142.3333333333335</v>
      </c>
      <c r="J60" s="10">
        <v>0.2</v>
      </c>
      <c r="K60" s="8">
        <f>G60-(G60*J60)</f>
        <v>4799.2</v>
      </c>
      <c r="L60" s="9"/>
    </row>
    <row r="61" spans="1:12" x14ac:dyDescent="0.3">
      <c r="A61" s="6" t="s">
        <v>118</v>
      </c>
      <c r="B61" s="7">
        <v>9789635725878</v>
      </c>
      <c r="C61" s="7" t="s">
        <v>474</v>
      </c>
      <c r="D61" s="6" t="s">
        <v>119</v>
      </c>
      <c r="E61" s="6"/>
      <c r="F61" s="6">
        <v>2</v>
      </c>
      <c r="G61" s="8">
        <v>4999</v>
      </c>
      <c r="H61" s="11">
        <f t="shared" si="0"/>
        <v>4760.9523809523807</v>
      </c>
      <c r="I61" s="11">
        <f t="shared" si="1"/>
        <v>2618.5238095238096</v>
      </c>
      <c r="J61" s="10">
        <v>0.1</v>
      </c>
      <c r="K61" s="8">
        <f>G61-(G61*J61)</f>
        <v>4499.1000000000004</v>
      </c>
      <c r="L61" s="9">
        <v>46187</v>
      </c>
    </row>
    <row r="62" spans="1:12" x14ac:dyDescent="0.3">
      <c r="A62" s="6" t="s">
        <v>121</v>
      </c>
      <c r="B62" s="7">
        <v>9789635724543</v>
      </c>
      <c r="C62" s="7" t="s">
        <v>442</v>
      </c>
      <c r="D62" s="6" t="s">
        <v>120</v>
      </c>
      <c r="E62" s="6"/>
      <c r="F62" s="6">
        <v>2</v>
      </c>
      <c r="G62" s="8">
        <v>4999</v>
      </c>
      <c r="H62" s="11">
        <f t="shared" si="0"/>
        <v>4760.9523809523807</v>
      </c>
      <c r="I62" s="11">
        <f t="shared" si="1"/>
        <v>2618.5238095238096</v>
      </c>
      <c r="J62" s="10">
        <v>0.2</v>
      </c>
      <c r="K62" s="8">
        <f>G62-(G62*J62)</f>
        <v>3999.2</v>
      </c>
      <c r="L62" s="9"/>
    </row>
    <row r="63" spans="1:12" x14ac:dyDescent="0.3">
      <c r="A63" s="6" t="s">
        <v>122</v>
      </c>
      <c r="B63" s="7">
        <v>9789635724222</v>
      </c>
      <c r="C63" s="7" t="s">
        <v>438</v>
      </c>
      <c r="D63" s="6" t="s">
        <v>123</v>
      </c>
      <c r="E63" s="6"/>
      <c r="F63" s="6">
        <v>2</v>
      </c>
      <c r="G63" s="8">
        <v>5999</v>
      </c>
      <c r="H63" s="11">
        <f t="shared" si="0"/>
        <v>5713.333333333333</v>
      </c>
      <c r="I63" s="11">
        <f t="shared" si="1"/>
        <v>3142.3333333333335</v>
      </c>
      <c r="J63" s="10">
        <v>0.2</v>
      </c>
      <c r="K63" s="8">
        <f>G63-(G63*J63)</f>
        <v>4799.2</v>
      </c>
      <c r="L63" s="9"/>
    </row>
    <row r="64" spans="1:12" x14ac:dyDescent="0.3">
      <c r="A64" s="6" t="s">
        <v>125</v>
      </c>
      <c r="B64" s="7">
        <v>9789635727308</v>
      </c>
      <c r="C64" s="7" t="s">
        <v>475</v>
      </c>
      <c r="D64" s="6" t="s">
        <v>124</v>
      </c>
      <c r="E64" s="6"/>
      <c r="F64" s="6">
        <v>2</v>
      </c>
      <c r="G64" s="8">
        <v>5999</v>
      </c>
      <c r="H64" s="11">
        <f t="shared" si="0"/>
        <v>5713.333333333333</v>
      </c>
      <c r="I64" s="11">
        <f t="shared" si="1"/>
        <v>3142.3333333333335</v>
      </c>
      <c r="J64" s="10">
        <v>0.2</v>
      </c>
      <c r="K64" s="8">
        <f>G64-(G64*J64)</f>
        <v>4799.2</v>
      </c>
      <c r="L64" s="9"/>
    </row>
    <row r="65" spans="1:12" x14ac:dyDescent="0.3">
      <c r="A65" s="6" t="s">
        <v>126</v>
      </c>
      <c r="B65" s="7">
        <v>9789635725427</v>
      </c>
      <c r="C65" s="7" t="s">
        <v>476</v>
      </c>
      <c r="D65" s="6" t="s">
        <v>127</v>
      </c>
      <c r="E65" s="6"/>
      <c r="F65" s="6">
        <v>2</v>
      </c>
      <c r="G65" s="8">
        <v>5999</v>
      </c>
      <c r="H65" s="11">
        <f t="shared" si="0"/>
        <v>5713.333333333333</v>
      </c>
      <c r="I65" s="11">
        <f t="shared" si="1"/>
        <v>3142.3333333333335</v>
      </c>
      <c r="J65" s="10">
        <v>0.1</v>
      </c>
      <c r="K65" s="8">
        <f>G65-(G65*J65)</f>
        <v>5399.1</v>
      </c>
      <c r="L65" s="9">
        <v>46341</v>
      </c>
    </row>
    <row r="66" spans="1:12" x14ac:dyDescent="0.3">
      <c r="A66" s="6" t="s">
        <v>128</v>
      </c>
      <c r="B66" s="7">
        <v>9789635725953</v>
      </c>
      <c r="C66" s="7" t="s">
        <v>446</v>
      </c>
      <c r="D66" s="6" t="s">
        <v>129</v>
      </c>
      <c r="E66" s="6"/>
      <c r="F66" s="6">
        <v>2</v>
      </c>
      <c r="G66" s="8">
        <v>5999</v>
      </c>
      <c r="H66" s="11">
        <f t="shared" si="0"/>
        <v>5713.333333333333</v>
      </c>
      <c r="I66" s="11">
        <f t="shared" si="1"/>
        <v>3142.3333333333335</v>
      </c>
      <c r="J66" s="10">
        <v>0.2</v>
      </c>
      <c r="K66" s="8">
        <f>G66-(G66*J66)</f>
        <v>4799.2</v>
      </c>
      <c r="L66" s="9"/>
    </row>
    <row r="67" spans="1:12" x14ac:dyDescent="0.3">
      <c r="A67" s="6" t="s">
        <v>130</v>
      </c>
      <c r="B67" s="7">
        <v>9789635721719</v>
      </c>
      <c r="C67" s="7" t="s">
        <v>477</v>
      </c>
      <c r="D67" s="6" t="s">
        <v>131</v>
      </c>
      <c r="E67" s="6">
        <v>3</v>
      </c>
      <c r="F67" s="6"/>
      <c r="G67" s="8">
        <v>4999</v>
      </c>
      <c r="H67" s="11">
        <f t="shared" si="0"/>
        <v>4760.9523809523807</v>
      </c>
      <c r="I67" s="11">
        <f>K67*0.55</f>
        <v>1374.7250000000001</v>
      </c>
      <c r="J67" s="10">
        <v>0.5</v>
      </c>
      <c r="K67" s="8">
        <f>G67-(G67*J67)</f>
        <v>2499.5</v>
      </c>
      <c r="L67" s="9"/>
    </row>
    <row r="68" spans="1:12" x14ac:dyDescent="0.3">
      <c r="A68" s="6" t="s">
        <v>132</v>
      </c>
      <c r="B68" s="7">
        <v>9789635726479</v>
      </c>
      <c r="C68" s="7" t="s">
        <v>435</v>
      </c>
      <c r="D68" s="6" t="s">
        <v>133</v>
      </c>
      <c r="E68" s="6"/>
      <c r="F68" s="6">
        <v>2</v>
      </c>
      <c r="G68" s="8">
        <v>5999</v>
      </c>
      <c r="H68" s="11">
        <f t="shared" ref="H68:H131" si="2">G68/1.05</f>
        <v>5713.333333333333</v>
      </c>
      <c r="I68" s="11">
        <f t="shared" ref="I68:I131" si="3">H68*0.55</f>
        <v>3142.3333333333335</v>
      </c>
      <c r="J68" s="10">
        <v>0.1</v>
      </c>
      <c r="K68" s="8">
        <f>G68-(G68*J68)</f>
        <v>5399.1</v>
      </c>
      <c r="L68" s="9">
        <v>46341</v>
      </c>
    </row>
    <row r="69" spans="1:12" x14ac:dyDescent="0.3">
      <c r="A69" s="6" t="s">
        <v>134</v>
      </c>
      <c r="B69" s="7">
        <v>9789635725717</v>
      </c>
      <c r="C69" s="7" t="s">
        <v>478</v>
      </c>
      <c r="D69" s="6" t="s">
        <v>135</v>
      </c>
      <c r="E69" s="6"/>
      <c r="F69" s="6">
        <v>2</v>
      </c>
      <c r="G69" s="8">
        <v>5999</v>
      </c>
      <c r="H69" s="11">
        <f t="shared" si="2"/>
        <v>5713.333333333333</v>
      </c>
      <c r="I69" s="11">
        <f t="shared" si="3"/>
        <v>3142.3333333333335</v>
      </c>
      <c r="J69" s="10">
        <v>0.1</v>
      </c>
      <c r="K69" s="8">
        <f>G69-(G69*J69)</f>
        <v>5399.1</v>
      </c>
      <c r="L69" s="9">
        <v>46291</v>
      </c>
    </row>
    <row r="70" spans="1:12" x14ac:dyDescent="0.3">
      <c r="A70" s="6" t="s">
        <v>136</v>
      </c>
      <c r="B70" s="7">
        <v>9789635724598</v>
      </c>
      <c r="C70" s="7" t="s">
        <v>447</v>
      </c>
      <c r="D70" s="6" t="s">
        <v>137</v>
      </c>
      <c r="E70" s="6"/>
      <c r="F70" s="6">
        <v>2</v>
      </c>
      <c r="G70" s="8">
        <v>4999</v>
      </c>
      <c r="H70" s="11">
        <f t="shared" si="2"/>
        <v>4760.9523809523807</v>
      </c>
      <c r="I70" s="11">
        <f t="shared" si="3"/>
        <v>2618.5238095238096</v>
      </c>
      <c r="J70" s="10">
        <v>0.2</v>
      </c>
      <c r="K70" s="8">
        <f>G70-(G70*J70)</f>
        <v>3999.2</v>
      </c>
      <c r="L70" s="9"/>
    </row>
    <row r="71" spans="1:12" x14ac:dyDescent="0.3">
      <c r="A71" s="6" t="s">
        <v>138</v>
      </c>
      <c r="B71" s="7">
        <v>9789635722372</v>
      </c>
      <c r="C71" s="7" t="s">
        <v>479</v>
      </c>
      <c r="D71" s="6" t="s">
        <v>139</v>
      </c>
      <c r="E71" s="6">
        <v>3</v>
      </c>
      <c r="F71" s="6"/>
      <c r="G71" s="8">
        <v>3999</v>
      </c>
      <c r="H71" s="11">
        <f t="shared" si="2"/>
        <v>3808.5714285714284</v>
      </c>
      <c r="I71" s="11">
        <f>K71*0.55</f>
        <v>1099.7250000000001</v>
      </c>
      <c r="J71" s="10">
        <v>0.5</v>
      </c>
      <c r="K71" s="8">
        <f>G71-(G71*J71)</f>
        <v>1999.5</v>
      </c>
      <c r="L71" s="9"/>
    </row>
    <row r="72" spans="1:12" x14ac:dyDescent="0.3">
      <c r="A72" s="6" t="s">
        <v>141</v>
      </c>
      <c r="B72" s="7">
        <v>9789635726356</v>
      </c>
      <c r="C72" s="7" t="s">
        <v>480</v>
      </c>
      <c r="D72" s="6" t="s">
        <v>140</v>
      </c>
      <c r="E72" s="6"/>
      <c r="F72" s="6">
        <v>2</v>
      </c>
      <c r="G72" s="8">
        <v>5499</v>
      </c>
      <c r="H72" s="11">
        <f t="shared" si="2"/>
        <v>5237.1428571428569</v>
      </c>
      <c r="I72" s="11">
        <f t="shared" si="3"/>
        <v>2880.4285714285716</v>
      </c>
      <c r="J72" s="10">
        <v>0.2</v>
      </c>
      <c r="K72" s="8">
        <f>G72-(G72*J72)</f>
        <v>4399.2</v>
      </c>
      <c r="L72" s="9"/>
    </row>
    <row r="73" spans="1:12" x14ac:dyDescent="0.3">
      <c r="A73" s="6" t="s">
        <v>142</v>
      </c>
      <c r="B73" s="7">
        <v>9789635726080</v>
      </c>
      <c r="C73" s="7" t="s">
        <v>481</v>
      </c>
      <c r="D73" s="6" t="s">
        <v>143</v>
      </c>
      <c r="E73" s="6"/>
      <c r="F73" s="6">
        <v>2</v>
      </c>
      <c r="G73" s="8">
        <v>4999</v>
      </c>
      <c r="H73" s="11">
        <f t="shared" si="2"/>
        <v>4760.9523809523807</v>
      </c>
      <c r="I73" s="11">
        <f t="shared" si="3"/>
        <v>2618.5238095238096</v>
      </c>
      <c r="J73" s="10">
        <v>0.1</v>
      </c>
      <c r="K73" s="8">
        <f>G73-(G73*J73)</f>
        <v>4499.1000000000004</v>
      </c>
      <c r="L73" s="9">
        <v>46299</v>
      </c>
    </row>
    <row r="74" spans="1:12" x14ac:dyDescent="0.3">
      <c r="A74" s="6" t="s">
        <v>144</v>
      </c>
      <c r="B74" s="7">
        <v>9789635727315</v>
      </c>
      <c r="C74" s="7" t="s">
        <v>438</v>
      </c>
      <c r="D74" s="6" t="s">
        <v>145</v>
      </c>
      <c r="E74" s="6"/>
      <c r="F74" s="6">
        <v>2</v>
      </c>
      <c r="G74" s="8">
        <v>5999</v>
      </c>
      <c r="H74" s="11">
        <f t="shared" si="2"/>
        <v>5713.333333333333</v>
      </c>
      <c r="I74" s="11">
        <f t="shared" si="3"/>
        <v>3142.3333333333335</v>
      </c>
      <c r="J74" s="10">
        <v>0.2</v>
      </c>
      <c r="K74" s="8">
        <f>G74-(G74*J74)</f>
        <v>4799.2</v>
      </c>
      <c r="L74" s="9"/>
    </row>
    <row r="75" spans="1:12" x14ac:dyDescent="0.3">
      <c r="A75" s="6" t="s">
        <v>146</v>
      </c>
      <c r="B75" s="7">
        <v>9789635725144</v>
      </c>
      <c r="C75" s="7" t="s">
        <v>438</v>
      </c>
      <c r="D75" s="6" t="s">
        <v>147</v>
      </c>
      <c r="E75" s="6"/>
      <c r="F75" s="6">
        <v>2</v>
      </c>
      <c r="G75" s="8">
        <v>4999</v>
      </c>
      <c r="H75" s="11">
        <f t="shared" si="2"/>
        <v>4760.9523809523807</v>
      </c>
      <c r="I75" s="11">
        <f t="shared" si="3"/>
        <v>2618.5238095238096</v>
      </c>
      <c r="J75" s="10">
        <v>0.2</v>
      </c>
      <c r="K75" s="8">
        <f>G75-(G75*J75)</f>
        <v>3999.2</v>
      </c>
      <c r="L75" s="9"/>
    </row>
    <row r="76" spans="1:12" x14ac:dyDescent="0.3">
      <c r="A76" s="6" t="s">
        <v>148</v>
      </c>
      <c r="B76" s="7">
        <v>9789635725151</v>
      </c>
      <c r="C76" s="7" t="s">
        <v>438</v>
      </c>
      <c r="D76" s="6" t="s">
        <v>149</v>
      </c>
      <c r="E76" s="6"/>
      <c r="F76" s="6">
        <v>2</v>
      </c>
      <c r="G76" s="8">
        <v>4999</v>
      </c>
      <c r="H76" s="11">
        <f t="shared" si="2"/>
        <v>4760.9523809523807</v>
      </c>
      <c r="I76" s="11">
        <f t="shared" si="3"/>
        <v>2618.5238095238096</v>
      </c>
      <c r="J76" s="10">
        <v>0.2</v>
      </c>
      <c r="K76" s="8">
        <f>G76-(G76*J76)</f>
        <v>3999.2</v>
      </c>
      <c r="L76" s="9"/>
    </row>
    <row r="77" spans="1:12" x14ac:dyDescent="0.3">
      <c r="A77" s="6" t="s">
        <v>150</v>
      </c>
      <c r="B77" s="7">
        <v>9789635725090</v>
      </c>
      <c r="C77" s="7" t="s">
        <v>451</v>
      </c>
      <c r="D77" s="6" t="s">
        <v>151</v>
      </c>
      <c r="E77" s="6"/>
      <c r="F77" s="6">
        <v>2</v>
      </c>
      <c r="G77" s="8">
        <v>5999</v>
      </c>
      <c r="H77" s="11">
        <f t="shared" si="2"/>
        <v>5713.333333333333</v>
      </c>
      <c r="I77" s="11">
        <f t="shared" si="3"/>
        <v>3142.3333333333335</v>
      </c>
      <c r="J77" s="10">
        <v>0.2</v>
      </c>
      <c r="K77" s="8">
        <f>G77-(G77*J77)</f>
        <v>4799.2</v>
      </c>
      <c r="L77" s="9"/>
    </row>
    <row r="78" spans="1:12" x14ac:dyDescent="0.3">
      <c r="A78" s="6" t="s">
        <v>152</v>
      </c>
      <c r="B78" s="7">
        <v>9789635724086</v>
      </c>
      <c r="C78" s="7" t="s">
        <v>482</v>
      </c>
      <c r="D78" s="6" t="s">
        <v>153</v>
      </c>
      <c r="E78" s="6"/>
      <c r="F78" s="6">
        <v>2</v>
      </c>
      <c r="G78" s="8">
        <v>6999</v>
      </c>
      <c r="H78" s="11">
        <f t="shared" si="2"/>
        <v>6665.7142857142853</v>
      </c>
      <c r="I78" s="11">
        <f t="shared" si="3"/>
        <v>3666.1428571428573</v>
      </c>
      <c r="J78" s="10">
        <v>0.1</v>
      </c>
      <c r="K78" s="8">
        <f>G78-(G78*J78)</f>
        <v>6299.1</v>
      </c>
      <c r="L78" s="9">
        <v>46173</v>
      </c>
    </row>
    <row r="79" spans="1:12" x14ac:dyDescent="0.3">
      <c r="A79" s="6" t="s">
        <v>154</v>
      </c>
      <c r="B79" s="7">
        <v>9789635726134</v>
      </c>
      <c r="C79" s="7" t="s">
        <v>433</v>
      </c>
      <c r="D79" s="6" t="s">
        <v>155</v>
      </c>
      <c r="E79" s="6"/>
      <c r="F79" s="6">
        <v>2</v>
      </c>
      <c r="G79" s="8">
        <v>4999</v>
      </c>
      <c r="H79" s="11">
        <f t="shared" si="2"/>
        <v>4760.9523809523807</v>
      </c>
      <c r="I79" s="11">
        <f t="shared" si="3"/>
        <v>2618.5238095238096</v>
      </c>
      <c r="J79" s="10">
        <v>0.2</v>
      </c>
      <c r="K79" s="8">
        <f>G79-(G79*J79)</f>
        <v>3999.2</v>
      </c>
      <c r="L79" s="9"/>
    </row>
    <row r="80" spans="1:12" x14ac:dyDescent="0.3">
      <c r="A80" s="6" t="s">
        <v>156</v>
      </c>
      <c r="B80" s="7">
        <v>9789635725991</v>
      </c>
      <c r="C80" s="7" t="s">
        <v>483</v>
      </c>
      <c r="D80" s="6" t="s">
        <v>157</v>
      </c>
      <c r="E80" s="6"/>
      <c r="F80" s="6">
        <v>2</v>
      </c>
      <c r="G80" s="8">
        <v>5999</v>
      </c>
      <c r="H80" s="11">
        <f t="shared" si="2"/>
        <v>5713.333333333333</v>
      </c>
      <c r="I80" s="11">
        <f t="shared" si="3"/>
        <v>3142.3333333333335</v>
      </c>
      <c r="J80" s="10">
        <v>0.1</v>
      </c>
      <c r="K80" s="8">
        <f>G80-(G80*J80)</f>
        <v>5399.1</v>
      </c>
      <c r="L80" s="9">
        <v>46313</v>
      </c>
    </row>
    <row r="81" spans="1:12" x14ac:dyDescent="0.3">
      <c r="A81" s="6" t="s">
        <v>158</v>
      </c>
      <c r="B81" s="7">
        <v>9789635721535</v>
      </c>
      <c r="C81" s="7" t="s">
        <v>484</v>
      </c>
      <c r="D81" s="6" t="s">
        <v>159</v>
      </c>
      <c r="E81" s="6"/>
      <c r="F81" s="6">
        <v>2</v>
      </c>
      <c r="G81" s="8">
        <v>4999</v>
      </c>
      <c r="H81" s="11">
        <f t="shared" si="2"/>
        <v>4760.9523809523807</v>
      </c>
      <c r="I81" s="11">
        <f t="shared" si="3"/>
        <v>2618.5238095238096</v>
      </c>
      <c r="J81" s="10">
        <v>0.2</v>
      </c>
      <c r="K81" s="8">
        <f>G81-(G81*J81)</f>
        <v>3999.2</v>
      </c>
      <c r="L81" s="9"/>
    </row>
    <row r="82" spans="1:12" x14ac:dyDescent="0.3">
      <c r="A82" s="6" t="s">
        <v>160</v>
      </c>
      <c r="B82" s="7">
        <v>9789635722099</v>
      </c>
      <c r="C82" s="7" t="s">
        <v>485</v>
      </c>
      <c r="D82" s="6" t="s">
        <v>161</v>
      </c>
      <c r="E82" s="6"/>
      <c r="F82" s="6">
        <v>2</v>
      </c>
      <c r="G82" s="8">
        <v>5499</v>
      </c>
      <c r="H82" s="11">
        <f t="shared" si="2"/>
        <v>5237.1428571428569</v>
      </c>
      <c r="I82" s="11">
        <f t="shared" si="3"/>
        <v>2880.4285714285716</v>
      </c>
      <c r="J82" s="10">
        <v>0.2</v>
      </c>
      <c r="K82" s="8">
        <f>G82-(G82*J82)</f>
        <v>4399.2</v>
      </c>
      <c r="L82" s="9"/>
    </row>
    <row r="83" spans="1:12" x14ac:dyDescent="0.3">
      <c r="A83" s="6" t="s">
        <v>162</v>
      </c>
      <c r="B83" s="7">
        <v>9789635722020</v>
      </c>
      <c r="C83" s="7" t="s">
        <v>486</v>
      </c>
      <c r="D83" s="6" t="s">
        <v>163</v>
      </c>
      <c r="E83" s="6"/>
      <c r="F83" s="6">
        <v>2</v>
      </c>
      <c r="G83" s="8">
        <v>5999</v>
      </c>
      <c r="H83" s="11">
        <f t="shared" si="2"/>
        <v>5713.333333333333</v>
      </c>
      <c r="I83" s="11">
        <f t="shared" si="3"/>
        <v>3142.3333333333335</v>
      </c>
      <c r="J83" s="10">
        <v>0.2</v>
      </c>
      <c r="K83" s="8">
        <f>G83-(G83*J83)</f>
        <v>4799.2</v>
      </c>
      <c r="L83" s="9"/>
    </row>
    <row r="84" spans="1:12" x14ac:dyDescent="0.3">
      <c r="A84" s="6" t="s">
        <v>164</v>
      </c>
      <c r="B84" s="7">
        <v>9789635724062</v>
      </c>
      <c r="C84" s="7" t="s">
        <v>487</v>
      </c>
      <c r="D84" s="6" t="s">
        <v>165</v>
      </c>
      <c r="E84" s="6"/>
      <c r="F84" s="6">
        <v>2</v>
      </c>
      <c r="G84" s="8">
        <v>6999</v>
      </c>
      <c r="H84" s="11">
        <f t="shared" si="2"/>
        <v>6665.7142857142853</v>
      </c>
      <c r="I84" s="11">
        <f t="shared" si="3"/>
        <v>3666.1428571428573</v>
      </c>
      <c r="J84" s="10">
        <v>0.2</v>
      </c>
      <c r="K84" s="8">
        <f>G84-(G84*J84)</f>
        <v>5599.2</v>
      </c>
      <c r="L84" s="9"/>
    </row>
    <row r="85" spans="1:12" x14ac:dyDescent="0.3">
      <c r="A85" s="6" t="s">
        <v>166</v>
      </c>
      <c r="B85" s="7">
        <v>9789635721443</v>
      </c>
      <c r="C85" s="7" t="s">
        <v>488</v>
      </c>
      <c r="D85" s="6" t="s">
        <v>167</v>
      </c>
      <c r="E85" s="6">
        <v>3</v>
      </c>
      <c r="F85" s="6"/>
      <c r="G85" s="8">
        <v>4999</v>
      </c>
      <c r="H85" s="11">
        <f t="shared" si="2"/>
        <v>4760.9523809523807</v>
      </c>
      <c r="I85" s="11">
        <f>K85*0.55</f>
        <v>1374.7250000000001</v>
      </c>
      <c r="J85" s="10">
        <v>0.5</v>
      </c>
      <c r="K85" s="8">
        <f>G85-(G85*J85)</f>
        <v>2499.5</v>
      </c>
      <c r="L85" s="9"/>
    </row>
    <row r="86" spans="1:12" x14ac:dyDescent="0.3">
      <c r="A86" s="6" t="s">
        <v>168</v>
      </c>
      <c r="B86" s="7">
        <v>9789635724918</v>
      </c>
      <c r="C86" s="7" t="s">
        <v>489</v>
      </c>
      <c r="D86" s="6" t="s">
        <v>169</v>
      </c>
      <c r="E86" s="6"/>
      <c r="F86" s="6">
        <v>2</v>
      </c>
      <c r="G86" s="8">
        <v>5999</v>
      </c>
      <c r="H86" s="11">
        <f t="shared" si="2"/>
        <v>5713.333333333333</v>
      </c>
      <c r="I86" s="11">
        <f t="shared" si="3"/>
        <v>3142.3333333333335</v>
      </c>
      <c r="J86" s="10">
        <v>0.2</v>
      </c>
      <c r="K86" s="8">
        <f>G86-(G86*J86)</f>
        <v>4799.2</v>
      </c>
      <c r="L86" s="9"/>
    </row>
    <row r="87" spans="1:12" x14ac:dyDescent="0.3">
      <c r="A87" s="6" t="s">
        <v>170</v>
      </c>
      <c r="B87" s="7">
        <v>9789635723065</v>
      </c>
      <c r="C87" s="7" t="s">
        <v>490</v>
      </c>
      <c r="D87" s="6" t="s">
        <v>171</v>
      </c>
      <c r="E87" s="6">
        <v>3</v>
      </c>
      <c r="F87" s="6"/>
      <c r="G87" s="8">
        <v>3999</v>
      </c>
      <c r="H87" s="11">
        <f t="shared" si="2"/>
        <v>3808.5714285714284</v>
      </c>
      <c r="I87" s="11">
        <f>K87*0.55</f>
        <v>1099.7250000000001</v>
      </c>
      <c r="J87" s="10">
        <v>0.5</v>
      </c>
      <c r="K87" s="8">
        <f>G87-(G87*J87)</f>
        <v>1999.5</v>
      </c>
      <c r="L87" s="9"/>
    </row>
    <row r="88" spans="1:12" x14ac:dyDescent="0.3">
      <c r="A88" s="6" t="s">
        <v>172</v>
      </c>
      <c r="B88" s="7">
        <v>9789635721412</v>
      </c>
      <c r="C88" s="7" t="s">
        <v>491</v>
      </c>
      <c r="D88" s="6" t="s">
        <v>173</v>
      </c>
      <c r="E88" s="6"/>
      <c r="F88" s="6">
        <v>2</v>
      </c>
      <c r="G88" s="8">
        <v>5999</v>
      </c>
      <c r="H88" s="11">
        <f t="shared" si="2"/>
        <v>5713.333333333333</v>
      </c>
      <c r="I88" s="11">
        <f t="shared" si="3"/>
        <v>3142.3333333333335</v>
      </c>
      <c r="J88" s="10">
        <v>0.2</v>
      </c>
      <c r="K88" s="8">
        <f>G88-(G88*J88)</f>
        <v>4799.2</v>
      </c>
      <c r="L88" s="9"/>
    </row>
    <row r="89" spans="1:12" x14ac:dyDescent="0.3">
      <c r="A89" s="6" t="s">
        <v>174</v>
      </c>
      <c r="B89" s="7">
        <v>9789635722792</v>
      </c>
      <c r="C89" s="7" t="s">
        <v>450</v>
      </c>
      <c r="D89" s="6" t="s">
        <v>175</v>
      </c>
      <c r="E89" s="6"/>
      <c r="F89" s="6">
        <v>2</v>
      </c>
      <c r="G89" s="8">
        <v>5999</v>
      </c>
      <c r="H89" s="11">
        <f t="shared" si="2"/>
        <v>5713.333333333333</v>
      </c>
      <c r="I89" s="11">
        <f t="shared" si="3"/>
        <v>3142.3333333333335</v>
      </c>
      <c r="J89" s="10">
        <v>0.2</v>
      </c>
      <c r="K89" s="8">
        <f>G89-(G89*J89)</f>
        <v>4799.2</v>
      </c>
      <c r="L89" s="9"/>
    </row>
    <row r="90" spans="1:12" x14ac:dyDescent="0.3">
      <c r="A90" s="6" t="s">
        <v>176</v>
      </c>
      <c r="B90" s="7">
        <v>9789635722891</v>
      </c>
      <c r="C90" s="7" t="s">
        <v>492</v>
      </c>
      <c r="D90" s="6" t="s">
        <v>177</v>
      </c>
      <c r="E90" s="6"/>
      <c r="F90" s="6">
        <v>2</v>
      </c>
      <c r="G90" s="8">
        <v>5999</v>
      </c>
      <c r="H90" s="11">
        <f t="shared" si="2"/>
        <v>5713.333333333333</v>
      </c>
      <c r="I90" s="11">
        <f t="shared" si="3"/>
        <v>3142.3333333333335</v>
      </c>
      <c r="J90" s="10">
        <v>0.2</v>
      </c>
      <c r="K90" s="8">
        <f>G90-(G90*J90)</f>
        <v>4799.2</v>
      </c>
      <c r="L90" s="9"/>
    </row>
    <row r="91" spans="1:12" x14ac:dyDescent="0.3">
      <c r="A91" s="6" t="s">
        <v>178</v>
      </c>
      <c r="B91" s="7">
        <v>9789635725977</v>
      </c>
      <c r="C91" s="7" t="s">
        <v>493</v>
      </c>
      <c r="D91" s="6" t="s">
        <v>179</v>
      </c>
      <c r="E91" s="6"/>
      <c r="F91" s="6">
        <v>5</v>
      </c>
      <c r="G91" s="8">
        <v>5999</v>
      </c>
      <c r="H91" s="11">
        <f t="shared" si="2"/>
        <v>5713.333333333333</v>
      </c>
      <c r="I91" s="11">
        <f t="shared" si="3"/>
        <v>3142.3333333333335</v>
      </c>
      <c r="J91" s="10">
        <v>0.1</v>
      </c>
      <c r="K91" s="8">
        <f>G91-(G91*J91)</f>
        <v>5399.1</v>
      </c>
      <c r="L91" s="9">
        <v>46187</v>
      </c>
    </row>
    <row r="92" spans="1:12" x14ac:dyDescent="0.3">
      <c r="A92" s="6" t="s">
        <v>180</v>
      </c>
      <c r="B92" s="7">
        <v>9789635726714</v>
      </c>
      <c r="C92" s="7" t="s">
        <v>493</v>
      </c>
      <c r="D92" s="6" t="s">
        <v>181</v>
      </c>
      <c r="E92" s="6"/>
      <c r="F92" s="6">
        <v>5</v>
      </c>
      <c r="G92" s="8">
        <v>4999</v>
      </c>
      <c r="H92" s="11">
        <f t="shared" si="2"/>
        <v>4760.9523809523807</v>
      </c>
      <c r="I92" s="11">
        <f t="shared" si="3"/>
        <v>2618.5238095238096</v>
      </c>
      <c r="J92" s="10">
        <v>0.1</v>
      </c>
      <c r="K92" s="8">
        <f>G92-(G92*J92)</f>
        <v>4499.1000000000004</v>
      </c>
      <c r="L92" s="9">
        <v>46362</v>
      </c>
    </row>
    <row r="93" spans="1:12" x14ac:dyDescent="0.3">
      <c r="A93" s="6" t="s">
        <v>182</v>
      </c>
      <c r="B93" s="7">
        <v>9789635725892</v>
      </c>
      <c r="C93" s="7" t="s">
        <v>494</v>
      </c>
      <c r="D93" s="6" t="s">
        <v>183</v>
      </c>
      <c r="E93" s="6"/>
      <c r="F93" s="6">
        <v>2</v>
      </c>
      <c r="G93" s="8">
        <v>5999</v>
      </c>
      <c r="H93" s="11">
        <f t="shared" si="2"/>
        <v>5713.333333333333</v>
      </c>
      <c r="I93" s="11">
        <f t="shared" si="3"/>
        <v>3142.3333333333335</v>
      </c>
      <c r="J93" s="10">
        <v>0.1</v>
      </c>
      <c r="K93" s="8">
        <f>G93-(G93*J93)</f>
        <v>5399.1</v>
      </c>
      <c r="L93" s="9">
        <v>46460</v>
      </c>
    </row>
    <row r="94" spans="1:12" x14ac:dyDescent="0.3">
      <c r="A94" s="6" t="s">
        <v>185</v>
      </c>
      <c r="B94" s="7">
        <v>9789635725960</v>
      </c>
      <c r="C94" s="7" t="s">
        <v>495</v>
      </c>
      <c r="D94" s="6" t="s">
        <v>184</v>
      </c>
      <c r="E94" s="6"/>
      <c r="F94" s="6">
        <v>2</v>
      </c>
      <c r="G94" s="8">
        <v>4999</v>
      </c>
      <c r="H94" s="11">
        <f t="shared" si="2"/>
        <v>4760.9523809523807</v>
      </c>
      <c r="I94" s="11">
        <f t="shared" si="3"/>
        <v>2618.5238095238096</v>
      </c>
      <c r="J94" s="10">
        <v>0.2</v>
      </c>
      <c r="K94" s="8">
        <f>G94-(G94*J94)</f>
        <v>3999.2</v>
      </c>
      <c r="L94" s="9"/>
    </row>
    <row r="95" spans="1:12" x14ac:dyDescent="0.3">
      <c r="A95" s="6" t="s">
        <v>186</v>
      </c>
      <c r="B95" s="7">
        <v>9789635724482</v>
      </c>
      <c r="C95" s="7" t="s">
        <v>496</v>
      </c>
      <c r="D95" s="6" t="s">
        <v>187</v>
      </c>
      <c r="E95" s="6"/>
      <c r="F95" s="6">
        <v>2</v>
      </c>
      <c r="G95" s="8">
        <v>6999</v>
      </c>
      <c r="H95" s="11">
        <f t="shared" si="2"/>
        <v>6665.7142857142853</v>
      </c>
      <c r="I95" s="11">
        <f t="shared" si="3"/>
        <v>3666.1428571428573</v>
      </c>
      <c r="J95" s="10">
        <v>0.1</v>
      </c>
      <c r="K95" s="8">
        <f>G95-(G95*J95)</f>
        <v>6299.1</v>
      </c>
      <c r="L95" s="9">
        <v>46138</v>
      </c>
    </row>
    <row r="96" spans="1:12" x14ac:dyDescent="0.3">
      <c r="A96" s="6" t="s">
        <v>188</v>
      </c>
      <c r="B96" s="7">
        <v>9789635725762</v>
      </c>
      <c r="C96" s="7" t="s">
        <v>492</v>
      </c>
      <c r="D96" s="6" t="s">
        <v>189</v>
      </c>
      <c r="E96" s="6"/>
      <c r="F96" s="6">
        <v>2</v>
      </c>
      <c r="G96" s="8">
        <v>9999</v>
      </c>
      <c r="H96" s="11">
        <f t="shared" si="2"/>
        <v>9522.8571428571431</v>
      </c>
      <c r="I96" s="11">
        <f t="shared" si="3"/>
        <v>5237.5714285714294</v>
      </c>
      <c r="J96" s="10">
        <v>0.1</v>
      </c>
      <c r="K96" s="8">
        <f>G96-(G96*J96)</f>
        <v>8999.1</v>
      </c>
      <c r="L96" s="9">
        <v>46333</v>
      </c>
    </row>
    <row r="97" spans="1:12" x14ac:dyDescent="0.3">
      <c r="A97" s="6" t="s">
        <v>190</v>
      </c>
      <c r="B97" s="7">
        <v>9789635725557</v>
      </c>
      <c r="C97" s="7" t="s">
        <v>497</v>
      </c>
      <c r="D97" s="6" t="s">
        <v>191</v>
      </c>
      <c r="E97" s="6"/>
      <c r="F97" s="6">
        <v>2</v>
      </c>
      <c r="G97" s="8">
        <v>9999</v>
      </c>
      <c r="H97" s="11">
        <f t="shared" si="2"/>
        <v>9522.8571428571431</v>
      </c>
      <c r="I97" s="11">
        <f t="shared" si="3"/>
        <v>5237.5714285714294</v>
      </c>
      <c r="J97" s="10">
        <v>0.1</v>
      </c>
      <c r="K97" s="8">
        <f>G97-(G97*J97)</f>
        <v>8999.1</v>
      </c>
      <c r="L97" s="9">
        <v>46355</v>
      </c>
    </row>
    <row r="98" spans="1:12" x14ac:dyDescent="0.3">
      <c r="A98" s="6" t="s">
        <v>192</v>
      </c>
      <c r="B98" s="7">
        <v>9789635724383</v>
      </c>
      <c r="C98" s="7" t="s">
        <v>441</v>
      </c>
      <c r="D98" s="6" t="s">
        <v>193</v>
      </c>
      <c r="E98" s="6"/>
      <c r="F98" s="6">
        <v>2</v>
      </c>
      <c r="G98" s="8">
        <v>5999</v>
      </c>
      <c r="H98" s="11">
        <f t="shared" si="2"/>
        <v>5713.333333333333</v>
      </c>
      <c r="I98" s="11">
        <f t="shared" si="3"/>
        <v>3142.3333333333335</v>
      </c>
      <c r="J98" s="10">
        <v>0.1</v>
      </c>
      <c r="K98" s="8">
        <f>G98-(G98*J98)</f>
        <v>5399.1</v>
      </c>
      <c r="L98" s="9">
        <v>46299</v>
      </c>
    </row>
    <row r="99" spans="1:12" x14ac:dyDescent="0.3">
      <c r="A99" s="6" t="s">
        <v>194</v>
      </c>
      <c r="B99" s="7">
        <v>9789635721641</v>
      </c>
      <c r="C99" s="7" t="s">
        <v>480</v>
      </c>
      <c r="D99" s="6" t="s">
        <v>195</v>
      </c>
      <c r="E99" s="6"/>
      <c r="F99" s="6">
        <v>2</v>
      </c>
      <c r="G99" s="8">
        <v>4999</v>
      </c>
      <c r="H99" s="11">
        <f t="shared" si="2"/>
        <v>4760.9523809523807</v>
      </c>
      <c r="I99" s="11">
        <f t="shared" si="3"/>
        <v>2618.5238095238096</v>
      </c>
      <c r="J99" s="10">
        <v>0.2</v>
      </c>
      <c r="K99" s="8">
        <f>G99-(G99*J99)</f>
        <v>3999.2</v>
      </c>
      <c r="L99" s="9"/>
    </row>
    <row r="100" spans="1:12" x14ac:dyDescent="0.3">
      <c r="A100" s="6" t="s">
        <v>196</v>
      </c>
      <c r="B100" s="7">
        <v>9789635724109</v>
      </c>
      <c r="C100" s="7" t="s">
        <v>498</v>
      </c>
      <c r="D100" s="6" t="s">
        <v>197</v>
      </c>
      <c r="E100" s="6"/>
      <c r="F100" s="6">
        <v>2</v>
      </c>
      <c r="G100" s="8">
        <v>5999</v>
      </c>
      <c r="H100" s="11">
        <f t="shared" si="2"/>
        <v>5713.333333333333</v>
      </c>
      <c r="I100" s="11">
        <f t="shared" si="3"/>
        <v>3142.3333333333335</v>
      </c>
      <c r="J100" s="10">
        <v>0.1</v>
      </c>
      <c r="K100" s="8">
        <f>G100-(G100*J100)</f>
        <v>5399.1</v>
      </c>
      <c r="L100" s="9">
        <v>46460</v>
      </c>
    </row>
    <row r="101" spans="1:12" x14ac:dyDescent="0.3">
      <c r="A101" s="6" t="s">
        <v>199</v>
      </c>
      <c r="B101" s="7">
        <v>9789635722655</v>
      </c>
      <c r="C101" s="7" t="s">
        <v>499</v>
      </c>
      <c r="D101" s="6" t="s">
        <v>198</v>
      </c>
      <c r="E101" s="6"/>
      <c r="F101" s="6">
        <v>2</v>
      </c>
      <c r="G101" s="8">
        <v>4999</v>
      </c>
      <c r="H101" s="11">
        <f t="shared" si="2"/>
        <v>4760.9523809523807</v>
      </c>
      <c r="I101" s="11">
        <f t="shared" si="3"/>
        <v>2618.5238095238096</v>
      </c>
      <c r="J101" s="10">
        <v>0.2</v>
      </c>
      <c r="K101" s="8">
        <f>G101-(G101*J101)</f>
        <v>3999.2</v>
      </c>
      <c r="L101" s="9"/>
    </row>
    <row r="102" spans="1:12" x14ac:dyDescent="0.3">
      <c r="A102" s="6" t="s">
        <v>200</v>
      </c>
      <c r="B102" s="7">
        <v>9789635723447</v>
      </c>
      <c r="C102" s="7" t="s">
        <v>443</v>
      </c>
      <c r="D102" s="6" t="s">
        <v>201</v>
      </c>
      <c r="E102" s="6"/>
      <c r="F102" s="6">
        <v>2</v>
      </c>
      <c r="G102" s="8">
        <v>4999</v>
      </c>
      <c r="H102" s="11">
        <f t="shared" si="2"/>
        <v>4760.9523809523807</v>
      </c>
      <c r="I102" s="11">
        <f t="shared" si="3"/>
        <v>2618.5238095238096</v>
      </c>
      <c r="J102" s="10">
        <v>0.2</v>
      </c>
      <c r="K102" s="8">
        <f>G102-(G102*J102)</f>
        <v>3999.2</v>
      </c>
      <c r="L102" s="9"/>
    </row>
    <row r="103" spans="1:12" x14ac:dyDescent="0.3">
      <c r="A103" s="6" t="s">
        <v>202</v>
      </c>
      <c r="B103" s="7">
        <v>9789635723270</v>
      </c>
      <c r="C103" s="7" t="s">
        <v>500</v>
      </c>
      <c r="D103" s="6" t="s">
        <v>203</v>
      </c>
      <c r="E103" s="6">
        <v>3</v>
      </c>
      <c r="F103" s="6"/>
      <c r="G103" s="8">
        <v>6999</v>
      </c>
      <c r="H103" s="11">
        <f t="shared" si="2"/>
        <v>6665.7142857142853</v>
      </c>
      <c r="I103" s="11">
        <f>K103*0.55</f>
        <v>1924.7250000000001</v>
      </c>
      <c r="J103" s="10">
        <v>0.5</v>
      </c>
      <c r="K103" s="8">
        <f>G103-(G103*J103)</f>
        <v>3499.5</v>
      </c>
      <c r="L103" s="9"/>
    </row>
    <row r="104" spans="1:12" x14ac:dyDescent="0.3">
      <c r="A104" s="6" t="s">
        <v>204</v>
      </c>
      <c r="B104" s="7">
        <v>9789635725595</v>
      </c>
      <c r="C104" s="7" t="s">
        <v>499</v>
      </c>
      <c r="D104" s="6" t="s">
        <v>205</v>
      </c>
      <c r="E104" s="6"/>
      <c r="F104" s="6">
        <v>2</v>
      </c>
      <c r="G104" s="8">
        <v>5999</v>
      </c>
      <c r="H104" s="11">
        <f t="shared" si="2"/>
        <v>5713.333333333333</v>
      </c>
      <c r="I104" s="11">
        <f t="shared" si="3"/>
        <v>3142.3333333333335</v>
      </c>
      <c r="J104" s="10">
        <v>0.1</v>
      </c>
      <c r="K104" s="8">
        <f>G104-(G104*J104)</f>
        <v>5399.1</v>
      </c>
      <c r="L104" s="9">
        <v>46166</v>
      </c>
    </row>
    <row r="105" spans="1:12" x14ac:dyDescent="0.3">
      <c r="A105" s="6" t="s">
        <v>206</v>
      </c>
      <c r="B105" s="7">
        <v>9789635726493</v>
      </c>
      <c r="C105" s="7" t="s">
        <v>501</v>
      </c>
      <c r="D105" s="6" t="s">
        <v>207</v>
      </c>
      <c r="E105" s="6"/>
      <c r="F105" s="6">
        <v>5</v>
      </c>
      <c r="G105" s="8">
        <v>5999</v>
      </c>
      <c r="H105" s="11">
        <f t="shared" si="2"/>
        <v>5713.333333333333</v>
      </c>
      <c r="I105" s="11">
        <f t="shared" si="3"/>
        <v>3142.3333333333335</v>
      </c>
      <c r="J105" s="10">
        <v>0.1</v>
      </c>
      <c r="K105" s="8">
        <f>G105-(G105*J105)</f>
        <v>5399.1</v>
      </c>
      <c r="L105" s="9">
        <v>46445</v>
      </c>
    </row>
    <row r="106" spans="1:12" x14ac:dyDescent="0.3">
      <c r="A106" s="6" t="s">
        <v>208</v>
      </c>
      <c r="B106" s="7">
        <v>9789635722365</v>
      </c>
      <c r="C106" s="7" t="s">
        <v>479</v>
      </c>
      <c r="D106" s="6" t="s">
        <v>209</v>
      </c>
      <c r="E106" s="6">
        <v>3</v>
      </c>
      <c r="F106" s="6"/>
      <c r="G106" s="8">
        <v>3999</v>
      </c>
      <c r="H106" s="11">
        <f t="shared" si="2"/>
        <v>3808.5714285714284</v>
      </c>
      <c r="I106" s="11">
        <f>K106*0.55</f>
        <v>1099.7250000000001</v>
      </c>
      <c r="J106" s="10">
        <v>0.5</v>
      </c>
      <c r="K106" s="8">
        <f>G106-(G106*J106)</f>
        <v>1999.5</v>
      </c>
      <c r="L106" s="9"/>
    </row>
    <row r="107" spans="1:12" x14ac:dyDescent="0.3">
      <c r="A107" s="6" t="s">
        <v>210</v>
      </c>
      <c r="B107" s="7">
        <v>9789635723317</v>
      </c>
      <c r="C107" s="7" t="s">
        <v>495</v>
      </c>
      <c r="D107" s="6" t="s">
        <v>211</v>
      </c>
      <c r="E107" s="6"/>
      <c r="F107" s="6">
        <v>2</v>
      </c>
      <c r="G107" s="8">
        <v>3999</v>
      </c>
      <c r="H107" s="11">
        <f t="shared" si="2"/>
        <v>3808.5714285714284</v>
      </c>
      <c r="I107" s="11">
        <f t="shared" si="3"/>
        <v>2094.7142857142858</v>
      </c>
      <c r="J107" s="10">
        <v>0.2</v>
      </c>
      <c r="K107" s="8">
        <f>G107-(G107*J107)</f>
        <v>3199.2</v>
      </c>
      <c r="L107" s="9"/>
    </row>
    <row r="108" spans="1:12" x14ac:dyDescent="0.3">
      <c r="A108" s="6" t="s">
        <v>212</v>
      </c>
      <c r="B108" s="7">
        <v>9789635724574</v>
      </c>
      <c r="C108" s="7" t="s">
        <v>436</v>
      </c>
      <c r="D108" s="6" t="s">
        <v>213</v>
      </c>
      <c r="E108" s="6"/>
      <c r="F108" s="6">
        <v>2</v>
      </c>
      <c r="G108" s="8">
        <v>6999</v>
      </c>
      <c r="H108" s="11">
        <f t="shared" si="2"/>
        <v>6665.7142857142853</v>
      </c>
      <c r="I108" s="11">
        <f t="shared" si="3"/>
        <v>3666.1428571428573</v>
      </c>
      <c r="J108" s="10">
        <v>0.1</v>
      </c>
      <c r="K108" s="8">
        <f>G108-(G108*J108)</f>
        <v>6299.1</v>
      </c>
      <c r="L108" s="9">
        <v>46299</v>
      </c>
    </row>
    <row r="109" spans="1:12" x14ac:dyDescent="0.3">
      <c r="A109" s="6" t="s">
        <v>215</v>
      </c>
      <c r="B109" s="7">
        <v>9789635726127</v>
      </c>
      <c r="C109" s="7" t="s">
        <v>433</v>
      </c>
      <c r="D109" s="6" t="s">
        <v>214</v>
      </c>
      <c r="E109" s="6"/>
      <c r="F109" s="6">
        <v>2</v>
      </c>
      <c r="G109" s="8">
        <v>5999</v>
      </c>
      <c r="H109" s="11">
        <f t="shared" si="2"/>
        <v>5713.333333333333</v>
      </c>
      <c r="I109" s="11">
        <f t="shared" si="3"/>
        <v>3142.3333333333335</v>
      </c>
      <c r="J109" s="10">
        <v>0.2</v>
      </c>
      <c r="K109" s="8">
        <f>G109-(G109*J109)</f>
        <v>4799.2</v>
      </c>
      <c r="L109" s="9"/>
    </row>
    <row r="110" spans="1:12" x14ac:dyDescent="0.3">
      <c r="A110" s="6" t="s">
        <v>217</v>
      </c>
      <c r="B110" s="7">
        <v>9789635727322</v>
      </c>
      <c r="C110" s="7" t="s">
        <v>502</v>
      </c>
      <c r="D110" s="6" t="s">
        <v>216</v>
      </c>
      <c r="E110" s="6"/>
      <c r="F110" s="6">
        <v>2</v>
      </c>
      <c r="G110" s="8">
        <v>8999</v>
      </c>
      <c r="H110" s="11">
        <f t="shared" si="2"/>
        <v>8570.4761904761908</v>
      </c>
      <c r="I110" s="11">
        <f t="shared" si="3"/>
        <v>4713.7619047619055</v>
      </c>
      <c r="J110" s="10">
        <v>0.2</v>
      </c>
      <c r="K110" s="8">
        <f>G110-(G110*J110)</f>
        <v>7199.2</v>
      </c>
      <c r="L110" s="9"/>
    </row>
    <row r="111" spans="1:12" x14ac:dyDescent="0.3">
      <c r="A111" s="6" t="s">
        <v>219</v>
      </c>
      <c r="B111" s="7">
        <v>9789635724536</v>
      </c>
      <c r="C111" s="7" t="s">
        <v>436</v>
      </c>
      <c r="D111" s="6" t="s">
        <v>218</v>
      </c>
      <c r="E111" s="6"/>
      <c r="F111" s="6">
        <v>2</v>
      </c>
      <c r="G111" s="8">
        <v>4999</v>
      </c>
      <c r="H111" s="11">
        <f t="shared" si="2"/>
        <v>4760.9523809523807</v>
      </c>
      <c r="I111" s="11">
        <f t="shared" si="3"/>
        <v>2618.5238095238096</v>
      </c>
      <c r="J111" s="10">
        <v>0.2</v>
      </c>
      <c r="K111" s="8">
        <f>G111-(G111*J111)</f>
        <v>3999.2</v>
      </c>
      <c r="L111" s="9"/>
    </row>
    <row r="112" spans="1:12" x14ac:dyDescent="0.3">
      <c r="A112" s="6" t="s">
        <v>220</v>
      </c>
      <c r="B112" s="7">
        <v>9789635725373</v>
      </c>
      <c r="C112" s="7" t="s">
        <v>433</v>
      </c>
      <c r="D112" s="6" t="s">
        <v>221</v>
      </c>
      <c r="E112" s="6"/>
      <c r="F112" s="6">
        <v>2</v>
      </c>
      <c r="G112" s="8">
        <v>3499</v>
      </c>
      <c r="H112" s="11">
        <f t="shared" si="2"/>
        <v>3332.3809523809523</v>
      </c>
      <c r="I112" s="11">
        <f t="shared" si="3"/>
        <v>1832.8095238095239</v>
      </c>
      <c r="J112" s="10">
        <v>0.2</v>
      </c>
      <c r="K112" s="8">
        <f>G112-(G112*J112)</f>
        <v>2799.2</v>
      </c>
      <c r="L112" s="9"/>
    </row>
    <row r="113" spans="1:12" x14ac:dyDescent="0.3">
      <c r="A113" s="6" t="s">
        <v>222</v>
      </c>
      <c r="B113" s="7">
        <v>9789635726387</v>
      </c>
      <c r="C113" s="7" t="s">
        <v>471</v>
      </c>
      <c r="D113" s="6" t="s">
        <v>223</v>
      </c>
      <c r="E113" s="6"/>
      <c r="F113" s="6">
        <v>2</v>
      </c>
      <c r="G113" s="8">
        <v>5999</v>
      </c>
      <c r="H113" s="11">
        <f t="shared" si="2"/>
        <v>5713.333333333333</v>
      </c>
      <c r="I113" s="11">
        <f t="shared" si="3"/>
        <v>3142.3333333333335</v>
      </c>
      <c r="J113" s="10">
        <v>0.1</v>
      </c>
      <c r="K113" s="8">
        <f>G113-(G113*J113)</f>
        <v>5399.1</v>
      </c>
      <c r="L113" s="9">
        <v>46326</v>
      </c>
    </row>
    <row r="114" spans="1:12" x14ac:dyDescent="0.3">
      <c r="A114" s="6" t="s">
        <v>224</v>
      </c>
      <c r="B114" s="7">
        <v>9789635723119</v>
      </c>
      <c r="C114" s="7" t="s">
        <v>503</v>
      </c>
      <c r="D114" s="6" t="s">
        <v>225</v>
      </c>
      <c r="E114" s="6"/>
      <c r="F114" s="6">
        <v>2</v>
      </c>
      <c r="G114" s="8">
        <v>3999</v>
      </c>
      <c r="H114" s="11">
        <f t="shared" si="2"/>
        <v>3808.5714285714284</v>
      </c>
      <c r="I114" s="11">
        <f t="shared" si="3"/>
        <v>2094.7142857142858</v>
      </c>
      <c r="J114" s="10">
        <v>0.2</v>
      </c>
      <c r="K114" s="8">
        <f>G114-(G114*J114)</f>
        <v>3199.2</v>
      </c>
      <c r="L114" s="9"/>
    </row>
    <row r="115" spans="1:12" x14ac:dyDescent="0.3">
      <c r="A115" s="6" t="s">
        <v>226</v>
      </c>
      <c r="B115" s="7">
        <v>9789635723393</v>
      </c>
      <c r="C115" s="7" t="s">
        <v>484</v>
      </c>
      <c r="D115" s="6" t="s">
        <v>227</v>
      </c>
      <c r="E115" s="6"/>
      <c r="F115" s="6">
        <v>2</v>
      </c>
      <c r="G115" s="8">
        <v>4999</v>
      </c>
      <c r="H115" s="11">
        <f t="shared" si="2"/>
        <v>4760.9523809523807</v>
      </c>
      <c r="I115" s="11">
        <f t="shared" si="3"/>
        <v>2618.5238095238096</v>
      </c>
      <c r="J115" s="10">
        <v>0.2</v>
      </c>
      <c r="K115" s="8">
        <f>G115-(G115*J115)</f>
        <v>3999.2</v>
      </c>
      <c r="L115" s="9"/>
    </row>
    <row r="116" spans="1:12" x14ac:dyDescent="0.3">
      <c r="A116" s="6" t="s">
        <v>228</v>
      </c>
      <c r="B116" s="7">
        <v>9789635724123</v>
      </c>
      <c r="C116" s="7" t="s">
        <v>504</v>
      </c>
      <c r="D116" s="6" t="s">
        <v>229</v>
      </c>
      <c r="E116" s="6">
        <v>3</v>
      </c>
      <c r="F116" s="6"/>
      <c r="G116" s="8">
        <v>4999</v>
      </c>
      <c r="H116" s="11">
        <f t="shared" si="2"/>
        <v>4760.9523809523807</v>
      </c>
      <c r="I116" s="11">
        <f t="shared" ref="I116:I117" si="4">K116*0.55</f>
        <v>1374.7250000000001</v>
      </c>
      <c r="J116" s="10">
        <v>0.5</v>
      </c>
      <c r="K116" s="8">
        <f>G116-(G116*J116)</f>
        <v>2499.5</v>
      </c>
      <c r="L116" s="9"/>
    </row>
    <row r="117" spans="1:12" x14ac:dyDescent="0.3">
      <c r="A117" s="6" t="s">
        <v>230</v>
      </c>
      <c r="B117" s="7">
        <v>9789635721375</v>
      </c>
      <c r="C117" s="7" t="s">
        <v>505</v>
      </c>
      <c r="D117" s="6" t="s">
        <v>231</v>
      </c>
      <c r="E117" s="6">
        <v>3</v>
      </c>
      <c r="F117" s="6"/>
      <c r="G117" s="8">
        <v>4999</v>
      </c>
      <c r="H117" s="11">
        <f t="shared" si="2"/>
        <v>4760.9523809523807</v>
      </c>
      <c r="I117" s="11">
        <f t="shared" si="4"/>
        <v>1374.7250000000001</v>
      </c>
      <c r="J117" s="10">
        <v>0.5</v>
      </c>
      <c r="K117" s="8">
        <f>G117-(G117*J117)</f>
        <v>2499.5</v>
      </c>
      <c r="L117" s="9"/>
    </row>
    <row r="118" spans="1:12" x14ac:dyDescent="0.3">
      <c r="A118" s="6" t="s">
        <v>232</v>
      </c>
      <c r="B118" s="7">
        <v>9789635722631</v>
      </c>
      <c r="C118" s="7" t="s">
        <v>436</v>
      </c>
      <c r="D118" s="6" t="s">
        <v>233</v>
      </c>
      <c r="E118" s="6"/>
      <c r="F118" s="6">
        <v>2</v>
      </c>
      <c r="G118" s="8">
        <v>5999</v>
      </c>
      <c r="H118" s="11">
        <f t="shared" si="2"/>
        <v>5713.333333333333</v>
      </c>
      <c r="I118" s="11">
        <f t="shared" si="3"/>
        <v>3142.3333333333335</v>
      </c>
      <c r="J118" s="10">
        <v>0.2</v>
      </c>
      <c r="K118" s="8">
        <f>G118-(G118*J118)</f>
        <v>4799.2</v>
      </c>
      <c r="L118" s="9"/>
    </row>
    <row r="119" spans="1:12" x14ac:dyDescent="0.3">
      <c r="A119" s="6" t="s">
        <v>234</v>
      </c>
      <c r="B119" s="7">
        <v>9789635723157</v>
      </c>
      <c r="C119" s="7" t="s">
        <v>506</v>
      </c>
      <c r="D119" s="6" t="s">
        <v>235</v>
      </c>
      <c r="E119" s="6"/>
      <c r="F119" s="6">
        <v>2</v>
      </c>
      <c r="G119" s="8">
        <v>4999</v>
      </c>
      <c r="H119" s="11">
        <f t="shared" si="2"/>
        <v>4760.9523809523807</v>
      </c>
      <c r="I119" s="11">
        <f t="shared" si="3"/>
        <v>2618.5238095238096</v>
      </c>
      <c r="J119" s="10">
        <v>0.2</v>
      </c>
      <c r="K119" s="8">
        <f>G119-(G119*J119)</f>
        <v>3999.2</v>
      </c>
      <c r="L119" s="9"/>
    </row>
    <row r="120" spans="1:12" x14ac:dyDescent="0.3">
      <c r="A120" s="6" t="s">
        <v>236</v>
      </c>
      <c r="B120" s="7">
        <v>9789635721887</v>
      </c>
      <c r="C120" s="7" t="s">
        <v>507</v>
      </c>
      <c r="D120" s="6" t="s">
        <v>237</v>
      </c>
      <c r="E120" s="6"/>
      <c r="F120" s="6">
        <v>2</v>
      </c>
      <c r="G120" s="8">
        <v>3999</v>
      </c>
      <c r="H120" s="11">
        <f t="shared" si="2"/>
        <v>3808.5714285714284</v>
      </c>
      <c r="I120" s="11">
        <f t="shared" si="3"/>
        <v>2094.7142857142858</v>
      </c>
      <c r="J120" s="10">
        <v>0.2</v>
      </c>
      <c r="K120" s="8">
        <f>G120-(G120*J120)</f>
        <v>3199.2</v>
      </c>
      <c r="L120" s="9"/>
    </row>
    <row r="121" spans="1:12" x14ac:dyDescent="0.3">
      <c r="A121" s="6" t="s">
        <v>238</v>
      </c>
      <c r="B121" s="7">
        <v>9789635722280</v>
      </c>
      <c r="C121" s="7" t="s">
        <v>447</v>
      </c>
      <c r="D121" s="6" t="s">
        <v>239</v>
      </c>
      <c r="E121" s="6"/>
      <c r="F121" s="6">
        <v>2</v>
      </c>
      <c r="G121" s="8">
        <v>5999</v>
      </c>
      <c r="H121" s="11">
        <f t="shared" si="2"/>
        <v>5713.333333333333</v>
      </c>
      <c r="I121" s="11">
        <f t="shared" si="3"/>
        <v>3142.3333333333335</v>
      </c>
      <c r="J121" s="10">
        <v>0.2</v>
      </c>
      <c r="K121" s="8">
        <f>G121-(G121*J121)</f>
        <v>4799.2</v>
      </c>
      <c r="L121" s="9"/>
    </row>
    <row r="122" spans="1:12" x14ac:dyDescent="0.3">
      <c r="A122" s="6" t="s">
        <v>241</v>
      </c>
      <c r="B122" s="7">
        <v>9789635725939</v>
      </c>
      <c r="C122" s="7" t="s">
        <v>433</v>
      </c>
      <c r="D122" s="6" t="s">
        <v>240</v>
      </c>
      <c r="E122" s="6"/>
      <c r="F122" s="6">
        <v>2</v>
      </c>
      <c r="G122" s="8">
        <v>6999</v>
      </c>
      <c r="H122" s="11">
        <f t="shared" si="2"/>
        <v>6665.7142857142853</v>
      </c>
      <c r="I122" s="11">
        <f t="shared" si="3"/>
        <v>3666.1428571428573</v>
      </c>
      <c r="J122" s="10">
        <v>0.2</v>
      </c>
      <c r="K122" s="8">
        <f>G122-(G122*J122)</f>
        <v>5599.2</v>
      </c>
      <c r="L122" s="9"/>
    </row>
    <row r="123" spans="1:12" x14ac:dyDescent="0.3">
      <c r="A123" s="6" t="s">
        <v>242</v>
      </c>
      <c r="B123" s="7">
        <v>9789635722471</v>
      </c>
      <c r="C123" s="7" t="s">
        <v>454</v>
      </c>
      <c r="D123" s="6" t="s">
        <v>243</v>
      </c>
      <c r="E123" s="6"/>
      <c r="F123" s="6">
        <v>2</v>
      </c>
      <c r="G123" s="8">
        <v>4999</v>
      </c>
      <c r="H123" s="11">
        <f t="shared" si="2"/>
        <v>4760.9523809523807</v>
      </c>
      <c r="I123" s="11">
        <f t="shared" si="3"/>
        <v>2618.5238095238096</v>
      </c>
      <c r="J123" s="10">
        <v>0.2</v>
      </c>
      <c r="K123" s="8">
        <f>G123-(G123*J123)</f>
        <v>3999.2</v>
      </c>
      <c r="L123" s="9"/>
    </row>
    <row r="124" spans="1:12" x14ac:dyDescent="0.3">
      <c r="A124" s="6" t="s">
        <v>244</v>
      </c>
      <c r="B124" s="7">
        <v>9789635722938</v>
      </c>
      <c r="C124" s="7" t="s">
        <v>508</v>
      </c>
      <c r="D124" s="6" t="s">
        <v>245</v>
      </c>
      <c r="E124" s="6"/>
      <c r="F124" s="6">
        <v>2</v>
      </c>
      <c r="G124" s="8">
        <v>8999</v>
      </c>
      <c r="H124" s="11">
        <f t="shared" si="2"/>
        <v>8570.4761904761908</v>
      </c>
      <c r="I124" s="11">
        <f t="shared" si="3"/>
        <v>4713.7619047619055</v>
      </c>
      <c r="J124" s="10">
        <v>0.2</v>
      </c>
      <c r="K124" s="8">
        <f>G124-(G124*J124)</f>
        <v>7199.2</v>
      </c>
      <c r="L124" s="9"/>
    </row>
    <row r="125" spans="1:12" x14ac:dyDescent="0.3">
      <c r="A125" s="6" t="s">
        <v>246</v>
      </c>
      <c r="B125" s="7">
        <v>9789635720781</v>
      </c>
      <c r="C125" s="7" t="s">
        <v>509</v>
      </c>
      <c r="D125" s="6" t="s">
        <v>247</v>
      </c>
      <c r="E125" s="6">
        <v>3</v>
      </c>
      <c r="F125" s="6"/>
      <c r="G125" s="8">
        <v>3999</v>
      </c>
      <c r="H125" s="11">
        <f t="shared" si="2"/>
        <v>3808.5714285714284</v>
      </c>
      <c r="I125" s="11">
        <f>K125*0.55</f>
        <v>1099.7250000000001</v>
      </c>
      <c r="J125" s="10">
        <v>0.5</v>
      </c>
      <c r="K125" s="8">
        <f>G125-(G125*J125)</f>
        <v>1999.5</v>
      </c>
      <c r="L125" s="9"/>
    </row>
    <row r="126" spans="1:12" x14ac:dyDescent="0.3">
      <c r="A126" s="6" t="s">
        <v>248</v>
      </c>
      <c r="B126" s="7">
        <v>9789635724970</v>
      </c>
      <c r="C126" s="7" t="s">
        <v>510</v>
      </c>
      <c r="D126" s="6" t="s">
        <v>249</v>
      </c>
      <c r="E126" s="6"/>
      <c r="F126" s="6">
        <v>2</v>
      </c>
      <c r="G126" s="8">
        <v>5999</v>
      </c>
      <c r="H126" s="11">
        <f t="shared" si="2"/>
        <v>5713.333333333333</v>
      </c>
      <c r="I126" s="11">
        <f t="shared" si="3"/>
        <v>3142.3333333333335</v>
      </c>
      <c r="J126" s="10">
        <v>0.2</v>
      </c>
      <c r="K126" s="8">
        <f>G126-(G126*J126)</f>
        <v>4799.2</v>
      </c>
      <c r="L126" s="9"/>
    </row>
    <row r="127" spans="1:12" x14ac:dyDescent="0.3">
      <c r="A127" s="6" t="s">
        <v>250</v>
      </c>
      <c r="B127" s="7">
        <v>9789635725403</v>
      </c>
      <c r="C127" s="7" t="s">
        <v>511</v>
      </c>
      <c r="D127" s="6" t="s">
        <v>251</v>
      </c>
      <c r="E127" s="6"/>
      <c r="F127" s="6">
        <v>2</v>
      </c>
      <c r="G127" s="8">
        <v>4999</v>
      </c>
      <c r="H127" s="11">
        <f t="shared" si="2"/>
        <v>4760.9523809523807</v>
      </c>
      <c r="I127" s="11">
        <f t="shared" si="3"/>
        <v>2618.5238095238096</v>
      </c>
      <c r="J127" s="10">
        <v>0.1</v>
      </c>
      <c r="K127" s="8">
        <f>G127-(G127*J127)</f>
        <v>4499.1000000000004</v>
      </c>
      <c r="L127" s="9">
        <v>46159</v>
      </c>
    </row>
    <row r="128" spans="1:12" x14ac:dyDescent="0.3">
      <c r="A128" s="6" t="s">
        <v>252</v>
      </c>
      <c r="B128" s="7">
        <v>9789635726172</v>
      </c>
      <c r="C128" s="7" t="s">
        <v>512</v>
      </c>
      <c r="D128" s="6" t="s">
        <v>253</v>
      </c>
      <c r="E128" s="6"/>
      <c r="F128" s="6">
        <v>2</v>
      </c>
      <c r="G128" s="8">
        <v>5999</v>
      </c>
      <c r="H128" s="11">
        <f t="shared" si="2"/>
        <v>5713.333333333333</v>
      </c>
      <c r="I128" s="11">
        <f t="shared" si="3"/>
        <v>3142.3333333333335</v>
      </c>
      <c r="J128" s="10">
        <v>0.1</v>
      </c>
      <c r="K128" s="8">
        <f>G128-(G128*J128)</f>
        <v>5399.1</v>
      </c>
      <c r="L128" s="9">
        <v>46334</v>
      </c>
    </row>
    <row r="129" spans="1:12" x14ac:dyDescent="0.3">
      <c r="A129" s="6" t="s">
        <v>254</v>
      </c>
      <c r="B129" s="7">
        <v>9789635724000</v>
      </c>
      <c r="C129" s="7" t="s">
        <v>513</v>
      </c>
      <c r="D129" s="6" t="s">
        <v>255</v>
      </c>
      <c r="E129" s="6"/>
      <c r="F129" s="6">
        <v>2</v>
      </c>
      <c r="G129" s="8">
        <v>3999</v>
      </c>
      <c r="H129" s="11">
        <f t="shared" si="2"/>
        <v>3808.5714285714284</v>
      </c>
      <c r="I129" s="11">
        <f t="shared" si="3"/>
        <v>2094.7142857142858</v>
      </c>
      <c r="J129" s="10">
        <v>0.2</v>
      </c>
      <c r="K129" s="8">
        <f>G129-(G129*J129)</f>
        <v>3199.2</v>
      </c>
      <c r="L129" s="9"/>
    </row>
    <row r="130" spans="1:12" x14ac:dyDescent="0.3">
      <c r="A130" s="6" t="s">
        <v>256</v>
      </c>
      <c r="B130" s="7">
        <v>9789635722075</v>
      </c>
      <c r="C130" s="7" t="s">
        <v>510</v>
      </c>
      <c r="D130" s="6" t="s">
        <v>257</v>
      </c>
      <c r="E130" s="6"/>
      <c r="F130" s="6">
        <v>2</v>
      </c>
      <c r="G130" s="8">
        <v>6999</v>
      </c>
      <c r="H130" s="11">
        <f t="shared" si="2"/>
        <v>6665.7142857142853</v>
      </c>
      <c r="I130" s="11">
        <f t="shared" si="3"/>
        <v>3666.1428571428573</v>
      </c>
      <c r="J130" s="10">
        <v>0.2</v>
      </c>
      <c r="K130" s="8">
        <f>G130-(G130*J130)</f>
        <v>5599.2</v>
      </c>
      <c r="L130" s="9"/>
    </row>
    <row r="131" spans="1:12" x14ac:dyDescent="0.3">
      <c r="A131" s="6" t="s">
        <v>258</v>
      </c>
      <c r="B131" s="7">
        <v>9789635723553</v>
      </c>
      <c r="C131" s="7" t="s">
        <v>492</v>
      </c>
      <c r="D131" s="6" t="s">
        <v>259</v>
      </c>
      <c r="E131" s="6"/>
      <c r="F131" s="6">
        <v>2</v>
      </c>
      <c r="G131" s="8">
        <v>8999</v>
      </c>
      <c r="H131" s="11">
        <f t="shared" si="2"/>
        <v>8570.4761904761908</v>
      </c>
      <c r="I131" s="11">
        <f t="shared" si="3"/>
        <v>4713.7619047619055</v>
      </c>
      <c r="J131" s="10">
        <v>0.2</v>
      </c>
      <c r="K131" s="8">
        <f>G131-(G131*J131)</f>
        <v>7199.2</v>
      </c>
      <c r="L131" s="9"/>
    </row>
    <row r="132" spans="1:12" x14ac:dyDescent="0.3">
      <c r="A132" s="6" t="s">
        <v>260</v>
      </c>
      <c r="B132" s="7">
        <v>9789635723133</v>
      </c>
      <c r="C132" s="7" t="s">
        <v>514</v>
      </c>
      <c r="D132" s="6" t="s">
        <v>261</v>
      </c>
      <c r="E132" s="6"/>
      <c r="F132" s="6">
        <v>5</v>
      </c>
      <c r="G132" s="8">
        <v>6999</v>
      </c>
      <c r="H132" s="11">
        <f t="shared" ref="H132:H195" si="5">G132/1.05</f>
        <v>6665.7142857142853</v>
      </c>
      <c r="I132" s="11">
        <f t="shared" ref="I132:I195" si="6">H132*0.55</f>
        <v>3666.1428571428573</v>
      </c>
      <c r="J132" s="10">
        <v>0.2</v>
      </c>
      <c r="K132" s="8">
        <f>G132-(G132*J132)</f>
        <v>5599.2</v>
      </c>
      <c r="L132" s="9"/>
    </row>
    <row r="133" spans="1:12" x14ac:dyDescent="0.3">
      <c r="A133" s="6" t="s">
        <v>262</v>
      </c>
      <c r="B133" s="7">
        <v>9789635723805</v>
      </c>
      <c r="C133" s="7" t="s">
        <v>511</v>
      </c>
      <c r="D133" s="6" t="s">
        <v>263</v>
      </c>
      <c r="E133" s="6"/>
      <c r="F133" s="6">
        <v>3</v>
      </c>
      <c r="G133" s="8">
        <v>5999</v>
      </c>
      <c r="H133" s="11">
        <f t="shared" si="5"/>
        <v>5713.333333333333</v>
      </c>
      <c r="I133" s="11">
        <f t="shared" si="6"/>
        <v>3142.3333333333335</v>
      </c>
      <c r="J133" s="10">
        <v>0.1</v>
      </c>
      <c r="K133" s="8">
        <f>G133-(G133*J133)</f>
        <v>5399.1</v>
      </c>
      <c r="L133" s="9">
        <v>46342</v>
      </c>
    </row>
    <row r="134" spans="1:12" x14ac:dyDescent="0.3">
      <c r="A134" s="6" t="s">
        <v>264</v>
      </c>
      <c r="B134" s="7">
        <v>9789635726141</v>
      </c>
      <c r="C134" s="7" t="s">
        <v>433</v>
      </c>
      <c r="D134" s="6" t="s">
        <v>265</v>
      </c>
      <c r="E134" s="6"/>
      <c r="F134" s="6">
        <v>2</v>
      </c>
      <c r="G134" s="8">
        <v>4999</v>
      </c>
      <c r="H134" s="11">
        <f t="shared" si="5"/>
        <v>4760.9523809523807</v>
      </c>
      <c r="I134" s="11">
        <f t="shared" si="6"/>
        <v>2618.5238095238096</v>
      </c>
      <c r="J134" s="10">
        <v>0.2</v>
      </c>
      <c r="K134" s="8">
        <f>G134-(G134*J134)</f>
        <v>3999.2</v>
      </c>
      <c r="L134" s="9"/>
    </row>
    <row r="135" spans="1:12" x14ac:dyDescent="0.3">
      <c r="A135" s="6" t="s">
        <v>266</v>
      </c>
      <c r="B135" s="7">
        <v>9789635722419</v>
      </c>
      <c r="C135" s="7" t="s">
        <v>457</v>
      </c>
      <c r="D135" s="6" t="s">
        <v>267</v>
      </c>
      <c r="E135" s="6"/>
      <c r="F135" s="6">
        <v>2</v>
      </c>
      <c r="G135" s="8">
        <v>4999</v>
      </c>
      <c r="H135" s="11">
        <f t="shared" si="5"/>
        <v>4760.9523809523807</v>
      </c>
      <c r="I135" s="11">
        <f t="shared" si="6"/>
        <v>2618.5238095238096</v>
      </c>
      <c r="J135" s="10">
        <v>0.2</v>
      </c>
      <c r="K135" s="8">
        <f>G135-(G135*J135)</f>
        <v>3999.2</v>
      </c>
      <c r="L135" s="9"/>
    </row>
    <row r="136" spans="1:12" x14ac:dyDescent="0.3">
      <c r="A136" s="6" t="s">
        <v>268</v>
      </c>
      <c r="B136" s="7">
        <v>9789635725380</v>
      </c>
      <c r="C136" s="7" t="s">
        <v>438</v>
      </c>
      <c r="D136" s="6" t="s">
        <v>269</v>
      </c>
      <c r="E136" s="6"/>
      <c r="F136" s="6">
        <v>2</v>
      </c>
      <c r="G136" s="8">
        <v>5999</v>
      </c>
      <c r="H136" s="11">
        <f t="shared" si="5"/>
        <v>5713.333333333333</v>
      </c>
      <c r="I136" s="11">
        <f t="shared" si="6"/>
        <v>3142.3333333333335</v>
      </c>
      <c r="J136" s="10">
        <v>0.2</v>
      </c>
      <c r="K136" s="8">
        <f>G136-(G136*J136)</f>
        <v>4799.2</v>
      </c>
      <c r="L136" s="9"/>
    </row>
    <row r="137" spans="1:12" x14ac:dyDescent="0.3">
      <c r="A137" s="6" t="s">
        <v>270</v>
      </c>
      <c r="B137" s="7">
        <v>9789635724772</v>
      </c>
      <c r="C137" s="7" t="s">
        <v>515</v>
      </c>
      <c r="D137" s="6" t="s">
        <v>271</v>
      </c>
      <c r="E137" s="6"/>
      <c r="F137" s="6">
        <v>2</v>
      </c>
      <c r="G137" s="8">
        <v>4999</v>
      </c>
      <c r="H137" s="11">
        <f t="shared" si="5"/>
        <v>4760.9523809523807</v>
      </c>
      <c r="I137" s="11">
        <f t="shared" si="6"/>
        <v>2618.5238095238096</v>
      </c>
      <c r="J137" s="10">
        <v>0.2</v>
      </c>
      <c r="K137" s="8">
        <f>G137-(G137*J137)</f>
        <v>3999.2</v>
      </c>
      <c r="L137" s="9"/>
    </row>
    <row r="138" spans="1:12" x14ac:dyDescent="0.3">
      <c r="A138" s="6" t="s">
        <v>272</v>
      </c>
      <c r="B138" s="7">
        <v>9789635726431</v>
      </c>
      <c r="C138" s="7" t="s">
        <v>433</v>
      </c>
      <c r="D138" s="6" t="s">
        <v>273</v>
      </c>
      <c r="E138" s="6"/>
      <c r="F138" s="6">
        <v>5</v>
      </c>
      <c r="G138" s="8">
        <v>5999</v>
      </c>
      <c r="H138" s="11">
        <f t="shared" si="5"/>
        <v>5713.333333333333</v>
      </c>
      <c r="I138" s="11">
        <f t="shared" si="6"/>
        <v>3142.3333333333335</v>
      </c>
      <c r="J138" s="10">
        <v>0.1</v>
      </c>
      <c r="K138" s="8">
        <f>G138-(G138*J138)</f>
        <v>5399.1</v>
      </c>
      <c r="L138" s="9">
        <v>46349</v>
      </c>
    </row>
    <row r="139" spans="1:12" x14ac:dyDescent="0.3">
      <c r="A139" s="6" t="s">
        <v>274</v>
      </c>
      <c r="B139" s="7">
        <v>9789635724444</v>
      </c>
      <c r="C139" s="7" t="s">
        <v>453</v>
      </c>
      <c r="D139" s="6" t="s">
        <v>275</v>
      </c>
      <c r="E139" s="6"/>
      <c r="F139" s="6">
        <v>2</v>
      </c>
      <c r="G139" s="8">
        <v>4999</v>
      </c>
      <c r="H139" s="11">
        <f t="shared" si="5"/>
        <v>4760.9523809523807</v>
      </c>
      <c r="I139" s="11">
        <f t="shared" si="6"/>
        <v>2618.5238095238096</v>
      </c>
      <c r="J139" s="10">
        <v>0.2</v>
      </c>
      <c r="K139" s="8">
        <f>G139-(G139*J139)</f>
        <v>3999.2</v>
      </c>
      <c r="L139" s="9"/>
    </row>
    <row r="140" spans="1:12" x14ac:dyDescent="0.3">
      <c r="A140" s="6" t="s">
        <v>276</v>
      </c>
      <c r="B140" s="7">
        <v>9789635722709</v>
      </c>
      <c r="C140" s="7" t="s">
        <v>516</v>
      </c>
      <c r="D140" s="6" t="s">
        <v>277</v>
      </c>
      <c r="E140" s="6"/>
      <c r="F140" s="6">
        <v>2</v>
      </c>
      <c r="G140" s="8">
        <v>5999</v>
      </c>
      <c r="H140" s="11">
        <f t="shared" si="5"/>
        <v>5713.333333333333</v>
      </c>
      <c r="I140" s="11">
        <f t="shared" si="6"/>
        <v>3142.3333333333335</v>
      </c>
      <c r="J140" s="10">
        <v>0.1</v>
      </c>
      <c r="K140" s="8">
        <f>G140-(G140*J140)</f>
        <v>5399.1</v>
      </c>
      <c r="L140" s="9">
        <v>46432</v>
      </c>
    </row>
    <row r="141" spans="1:12" x14ac:dyDescent="0.3">
      <c r="A141" s="6" t="s">
        <v>279</v>
      </c>
      <c r="B141" s="7">
        <v>9789635721917</v>
      </c>
      <c r="C141" s="7" t="s">
        <v>495</v>
      </c>
      <c r="D141" s="6" t="s">
        <v>278</v>
      </c>
      <c r="E141" s="6"/>
      <c r="F141" s="6">
        <v>5</v>
      </c>
      <c r="G141" s="8">
        <v>6999</v>
      </c>
      <c r="H141" s="11">
        <f t="shared" si="5"/>
        <v>6665.7142857142853</v>
      </c>
      <c r="I141" s="11">
        <f t="shared" si="6"/>
        <v>3666.1428571428573</v>
      </c>
      <c r="J141" s="10">
        <v>0.1</v>
      </c>
      <c r="K141" s="8">
        <f>G141-(G141*J141)</f>
        <v>6299.1</v>
      </c>
      <c r="L141" s="9">
        <v>46348</v>
      </c>
    </row>
    <row r="142" spans="1:12" x14ac:dyDescent="0.3">
      <c r="A142" s="6" t="s">
        <v>280</v>
      </c>
      <c r="B142" s="7">
        <v>9789635723829</v>
      </c>
      <c r="C142" s="7" t="s">
        <v>517</v>
      </c>
      <c r="D142" s="6" t="s">
        <v>281</v>
      </c>
      <c r="E142" s="6"/>
      <c r="F142" s="6">
        <v>2</v>
      </c>
      <c r="G142" s="8">
        <v>9999</v>
      </c>
      <c r="H142" s="11">
        <f t="shared" si="5"/>
        <v>9522.8571428571431</v>
      </c>
      <c r="I142" s="11">
        <f t="shared" si="6"/>
        <v>5237.5714285714294</v>
      </c>
      <c r="J142" s="10">
        <v>0.2</v>
      </c>
      <c r="K142" s="8">
        <f>G142-(G142*J142)</f>
        <v>7999.2</v>
      </c>
      <c r="L142" s="9"/>
    </row>
    <row r="143" spans="1:12" x14ac:dyDescent="0.3">
      <c r="A143" s="6" t="s">
        <v>282</v>
      </c>
      <c r="B143" s="7">
        <v>9789635720491</v>
      </c>
      <c r="C143" s="7" t="s">
        <v>518</v>
      </c>
      <c r="D143" s="6" t="s">
        <v>283</v>
      </c>
      <c r="E143" s="6"/>
      <c r="F143" s="6">
        <v>2</v>
      </c>
      <c r="G143" s="8">
        <v>6999</v>
      </c>
      <c r="H143" s="11">
        <f t="shared" si="5"/>
        <v>6665.7142857142853</v>
      </c>
      <c r="I143" s="11">
        <f t="shared" si="6"/>
        <v>3666.1428571428573</v>
      </c>
      <c r="J143" s="10">
        <v>0.2</v>
      </c>
      <c r="K143" s="8">
        <f>G143-(G143*J143)</f>
        <v>5599.2</v>
      </c>
      <c r="L143" s="9"/>
    </row>
    <row r="144" spans="1:12" x14ac:dyDescent="0.3">
      <c r="A144" s="6" t="s">
        <v>284</v>
      </c>
      <c r="B144" s="7">
        <v>9789635723324</v>
      </c>
      <c r="C144" s="7" t="s">
        <v>518</v>
      </c>
      <c r="D144" s="6" t="s">
        <v>285</v>
      </c>
      <c r="E144" s="6"/>
      <c r="F144" s="6">
        <v>2</v>
      </c>
      <c r="G144" s="8">
        <v>5999</v>
      </c>
      <c r="H144" s="11">
        <f t="shared" si="5"/>
        <v>5713.333333333333</v>
      </c>
      <c r="I144" s="11">
        <f t="shared" si="6"/>
        <v>3142.3333333333335</v>
      </c>
      <c r="J144" s="10">
        <v>0.2</v>
      </c>
      <c r="K144" s="8">
        <f>G144-(G144*J144)</f>
        <v>4799.2</v>
      </c>
      <c r="L144" s="9"/>
    </row>
    <row r="145" spans="1:12" x14ac:dyDescent="0.3">
      <c r="A145" s="6" t="s">
        <v>286</v>
      </c>
      <c r="B145" s="7">
        <v>9789635727339</v>
      </c>
      <c r="C145" s="7" t="s">
        <v>519</v>
      </c>
      <c r="D145" s="6" t="s">
        <v>287</v>
      </c>
      <c r="E145" s="6"/>
      <c r="F145" s="6">
        <v>2</v>
      </c>
      <c r="G145" s="8">
        <v>6999</v>
      </c>
      <c r="H145" s="11">
        <f t="shared" si="5"/>
        <v>6665.7142857142853</v>
      </c>
      <c r="I145" s="11">
        <f t="shared" si="6"/>
        <v>3666.1428571428573</v>
      </c>
      <c r="J145" s="10">
        <v>0.2</v>
      </c>
      <c r="K145" s="8">
        <f>G145-(G145*J145)</f>
        <v>5599.2</v>
      </c>
      <c r="L145" s="9"/>
    </row>
    <row r="146" spans="1:12" x14ac:dyDescent="0.3">
      <c r="A146" s="6" t="s">
        <v>288</v>
      </c>
      <c r="B146" s="7">
        <v>9789635721863</v>
      </c>
      <c r="C146" s="7" t="s">
        <v>454</v>
      </c>
      <c r="D146" s="6" t="s">
        <v>289</v>
      </c>
      <c r="E146" s="6"/>
      <c r="F146" s="6">
        <v>2</v>
      </c>
      <c r="G146" s="8">
        <v>4499</v>
      </c>
      <c r="H146" s="11">
        <f t="shared" si="5"/>
        <v>4284.7619047619046</v>
      </c>
      <c r="I146" s="11">
        <f t="shared" si="6"/>
        <v>2356.6190476190477</v>
      </c>
      <c r="J146" s="10">
        <v>0.2</v>
      </c>
      <c r="K146" s="8">
        <f>G146-(G146*J146)</f>
        <v>3599.2</v>
      </c>
      <c r="L146" s="9"/>
    </row>
    <row r="147" spans="1:12" x14ac:dyDescent="0.3">
      <c r="A147" s="6" t="s">
        <v>290</v>
      </c>
      <c r="B147" s="7">
        <v>9789635724345</v>
      </c>
      <c r="C147" s="7" t="s">
        <v>520</v>
      </c>
      <c r="D147" s="6" t="s">
        <v>291</v>
      </c>
      <c r="E147" s="6"/>
      <c r="F147" s="6">
        <v>2</v>
      </c>
      <c r="G147" s="8">
        <v>5999</v>
      </c>
      <c r="H147" s="11">
        <f t="shared" si="5"/>
        <v>5713.333333333333</v>
      </c>
      <c r="I147" s="11">
        <f t="shared" si="6"/>
        <v>3142.3333333333335</v>
      </c>
      <c r="J147" s="10">
        <v>0.1</v>
      </c>
      <c r="K147" s="8">
        <f>G147-(G147*J147)</f>
        <v>5399.1</v>
      </c>
      <c r="L147" s="9">
        <v>46346</v>
      </c>
    </row>
    <row r="148" spans="1:12" x14ac:dyDescent="0.3">
      <c r="A148" s="6" t="s">
        <v>292</v>
      </c>
      <c r="B148" s="7">
        <v>9789635726738</v>
      </c>
      <c r="C148" s="7" t="s">
        <v>443</v>
      </c>
      <c r="D148" s="6" t="s">
        <v>293</v>
      </c>
      <c r="E148" s="6"/>
      <c r="F148" s="6">
        <v>2</v>
      </c>
      <c r="G148" s="8">
        <v>4999</v>
      </c>
      <c r="H148" s="11">
        <f t="shared" si="5"/>
        <v>4760.9523809523807</v>
      </c>
      <c r="I148" s="11">
        <f t="shared" si="6"/>
        <v>2618.5238095238096</v>
      </c>
      <c r="J148" s="10">
        <v>0.2</v>
      </c>
      <c r="K148" s="8">
        <f>G148-(G148*J148)</f>
        <v>3999.2</v>
      </c>
      <c r="L148" s="9"/>
    </row>
    <row r="149" spans="1:12" x14ac:dyDescent="0.3">
      <c r="A149" s="6" t="s">
        <v>294</v>
      </c>
      <c r="B149" s="7">
        <v>9789635720309</v>
      </c>
      <c r="C149" s="7" t="s">
        <v>521</v>
      </c>
      <c r="D149" s="6" t="s">
        <v>295</v>
      </c>
      <c r="E149" s="6">
        <v>3</v>
      </c>
      <c r="F149" s="6"/>
      <c r="G149" s="8">
        <v>3999</v>
      </c>
      <c r="H149" s="11">
        <f t="shared" si="5"/>
        <v>3808.5714285714284</v>
      </c>
      <c r="I149" s="11">
        <f t="shared" ref="I149:I150" si="7">K149*0.55</f>
        <v>1099.7250000000001</v>
      </c>
      <c r="J149" s="10">
        <v>0.5</v>
      </c>
      <c r="K149" s="8">
        <f>G149-(G149*J149)</f>
        <v>1999.5</v>
      </c>
      <c r="L149" s="9"/>
    </row>
    <row r="150" spans="1:12" x14ac:dyDescent="0.3">
      <c r="A150" s="6" t="s">
        <v>296</v>
      </c>
      <c r="B150" s="7">
        <v>9789635721313</v>
      </c>
      <c r="C150" s="7" t="s">
        <v>522</v>
      </c>
      <c r="D150" s="6" t="s">
        <v>297</v>
      </c>
      <c r="E150" s="6">
        <v>3</v>
      </c>
      <c r="F150" s="6"/>
      <c r="G150" s="8">
        <v>3999</v>
      </c>
      <c r="H150" s="11">
        <f t="shared" si="5"/>
        <v>3808.5714285714284</v>
      </c>
      <c r="I150" s="11">
        <f t="shared" si="7"/>
        <v>1099.7250000000001</v>
      </c>
      <c r="J150" s="10">
        <v>0.5</v>
      </c>
      <c r="K150" s="8">
        <f>G150-(G150*J150)</f>
        <v>1999.5</v>
      </c>
      <c r="L150" s="9"/>
    </row>
    <row r="151" spans="1:12" x14ac:dyDescent="0.3">
      <c r="A151" s="6" t="s">
        <v>298</v>
      </c>
      <c r="B151" s="7">
        <v>9789635721252</v>
      </c>
      <c r="C151" s="7" t="s">
        <v>523</v>
      </c>
      <c r="D151" s="6" t="s">
        <v>299</v>
      </c>
      <c r="E151" s="6"/>
      <c r="F151" s="6">
        <v>2</v>
      </c>
      <c r="G151" s="8">
        <v>6999</v>
      </c>
      <c r="H151" s="11">
        <f t="shared" si="5"/>
        <v>6665.7142857142853</v>
      </c>
      <c r="I151" s="11">
        <f t="shared" si="6"/>
        <v>3666.1428571428573</v>
      </c>
      <c r="J151" s="10">
        <v>0.2</v>
      </c>
      <c r="K151" s="8">
        <f>G151-(G151*J151)</f>
        <v>5599.2</v>
      </c>
      <c r="L151" s="9"/>
    </row>
    <row r="152" spans="1:12" x14ac:dyDescent="0.3">
      <c r="A152" s="6" t="s">
        <v>300</v>
      </c>
      <c r="B152" s="7">
        <v>9789635724758</v>
      </c>
      <c r="C152" s="7" t="s">
        <v>524</v>
      </c>
      <c r="D152" s="6" t="s">
        <v>301</v>
      </c>
      <c r="E152" s="6"/>
      <c r="F152" s="6">
        <v>2</v>
      </c>
      <c r="G152" s="8">
        <v>6999</v>
      </c>
      <c r="H152" s="11">
        <f t="shared" si="5"/>
        <v>6665.7142857142853</v>
      </c>
      <c r="I152" s="11">
        <f t="shared" si="6"/>
        <v>3666.1428571428573</v>
      </c>
      <c r="J152" s="10">
        <v>0.1</v>
      </c>
      <c r="K152" s="8">
        <f>G152-(G152*J152)</f>
        <v>6299.1</v>
      </c>
      <c r="L152" s="9">
        <v>46262</v>
      </c>
    </row>
    <row r="153" spans="1:12" x14ac:dyDescent="0.3">
      <c r="A153" s="6" t="s">
        <v>302</v>
      </c>
      <c r="B153" s="7">
        <v>9789635720873</v>
      </c>
      <c r="C153" s="7" t="s">
        <v>525</v>
      </c>
      <c r="D153" s="6" t="s">
        <v>303</v>
      </c>
      <c r="E153" s="6"/>
      <c r="F153" s="6">
        <v>3</v>
      </c>
      <c r="G153" s="8">
        <v>7999</v>
      </c>
      <c r="H153" s="11">
        <f t="shared" si="5"/>
        <v>7618.0952380952376</v>
      </c>
      <c r="I153" s="11">
        <f t="shared" si="6"/>
        <v>4189.9523809523807</v>
      </c>
      <c r="J153" s="10">
        <v>0.2</v>
      </c>
      <c r="K153" s="8">
        <f>G153-(G153*J153)</f>
        <v>6399.2</v>
      </c>
      <c r="L153" s="9"/>
    </row>
    <row r="154" spans="1:12" x14ac:dyDescent="0.3">
      <c r="A154" s="6" t="s">
        <v>304</v>
      </c>
      <c r="B154" s="7">
        <v>9789635724284</v>
      </c>
      <c r="C154" s="7" t="s">
        <v>526</v>
      </c>
      <c r="D154" s="6" t="s">
        <v>305</v>
      </c>
      <c r="E154" s="6"/>
      <c r="F154" s="6">
        <v>2</v>
      </c>
      <c r="G154" s="8">
        <v>4999</v>
      </c>
      <c r="H154" s="11">
        <f t="shared" si="5"/>
        <v>4760.9523809523807</v>
      </c>
      <c r="I154" s="11">
        <f t="shared" si="6"/>
        <v>2618.5238095238096</v>
      </c>
      <c r="J154" s="10">
        <v>0.2</v>
      </c>
      <c r="K154" s="8">
        <f>G154-(G154*J154)</f>
        <v>3999.2</v>
      </c>
      <c r="L154" s="9"/>
    </row>
    <row r="155" spans="1:12" x14ac:dyDescent="0.3">
      <c r="A155" s="6" t="s">
        <v>306</v>
      </c>
      <c r="B155" s="7">
        <v>9789635721382</v>
      </c>
      <c r="C155" s="7" t="s">
        <v>492</v>
      </c>
      <c r="D155" s="6" t="s">
        <v>307</v>
      </c>
      <c r="E155" s="6"/>
      <c r="F155" s="6">
        <v>2</v>
      </c>
      <c r="G155" s="8">
        <v>8999</v>
      </c>
      <c r="H155" s="11">
        <f t="shared" si="5"/>
        <v>8570.4761904761908</v>
      </c>
      <c r="I155" s="11">
        <f t="shared" si="6"/>
        <v>4713.7619047619055</v>
      </c>
      <c r="J155" s="10">
        <v>0.2</v>
      </c>
      <c r="K155" s="8">
        <f>G155-(G155*J155)</f>
        <v>7199.2</v>
      </c>
      <c r="L155" s="9"/>
    </row>
    <row r="156" spans="1:12" x14ac:dyDescent="0.3">
      <c r="A156" s="6" t="s">
        <v>308</v>
      </c>
      <c r="B156" s="7">
        <v>9789635722778</v>
      </c>
      <c r="C156" s="7" t="s">
        <v>527</v>
      </c>
      <c r="D156" s="6" t="s">
        <v>309</v>
      </c>
      <c r="E156" s="6"/>
      <c r="F156" s="6">
        <v>2</v>
      </c>
      <c r="G156" s="8">
        <v>5999</v>
      </c>
      <c r="H156" s="11">
        <f t="shared" si="5"/>
        <v>5713.333333333333</v>
      </c>
      <c r="I156" s="11">
        <f t="shared" si="6"/>
        <v>3142.3333333333335</v>
      </c>
      <c r="J156" s="10">
        <v>0.2</v>
      </c>
      <c r="K156" s="8">
        <f>G156-(G156*J156)</f>
        <v>4799.2</v>
      </c>
      <c r="L156" s="9"/>
    </row>
    <row r="157" spans="1:12" x14ac:dyDescent="0.3">
      <c r="A157" s="6" t="s">
        <v>310</v>
      </c>
      <c r="B157" s="7">
        <v>9789635723782</v>
      </c>
      <c r="C157" s="7" t="s">
        <v>433</v>
      </c>
      <c r="D157" s="6" t="s">
        <v>311</v>
      </c>
      <c r="E157" s="6"/>
      <c r="F157" s="6">
        <v>2</v>
      </c>
      <c r="G157" s="8">
        <v>4299</v>
      </c>
      <c r="H157" s="11">
        <f t="shared" si="5"/>
        <v>4094.2857142857142</v>
      </c>
      <c r="I157" s="11">
        <f t="shared" si="6"/>
        <v>2251.8571428571431</v>
      </c>
      <c r="J157" s="10">
        <v>0.2</v>
      </c>
      <c r="K157" s="8">
        <f>G157-(G157*J157)</f>
        <v>3439.2</v>
      </c>
      <c r="L157" s="9"/>
    </row>
    <row r="158" spans="1:12" x14ac:dyDescent="0.3">
      <c r="A158" s="6" t="s">
        <v>312</v>
      </c>
      <c r="B158" s="7">
        <v>9789635721085</v>
      </c>
      <c r="C158" s="7" t="s">
        <v>528</v>
      </c>
      <c r="D158" s="6" t="s">
        <v>313</v>
      </c>
      <c r="E158" s="6">
        <v>3</v>
      </c>
      <c r="F158" s="6"/>
      <c r="G158" s="8">
        <v>4499</v>
      </c>
      <c r="H158" s="11">
        <f t="shared" si="5"/>
        <v>4284.7619047619046</v>
      </c>
      <c r="I158" s="11">
        <f>K158*0.55</f>
        <v>1237.2250000000001</v>
      </c>
      <c r="J158" s="10">
        <v>0.5</v>
      </c>
      <c r="K158" s="8">
        <f>G158-(G158*J158)</f>
        <v>2249.5</v>
      </c>
      <c r="L158" s="9"/>
    </row>
    <row r="159" spans="1:12" x14ac:dyDescent="0.3">
      <c r="A159" s="6" t="s">
        <v>314</v>
      </c>
      <c r="B159" s="7">
        <v>9789635724710</v>
      </c>
      <c r="C159" s="7" t="s">
        <v>529</v>
      </c>
      <c r="D159" s="6" t="s">
        <v>315</v>
      </c>
      <c r="E159" s="6"/>
      <c r="F159" s="6">
        <v>2</v>
      </c>
      <c r="G159" s="8">
        <v>5999</v>
      </c>
      <c r="H159" s="11">
        <f t="shared" si="5"/>
        <v>5713.333333333333</v>
      </c>
      <c r="I159" s="11">
        <f t="shared" si="6"/>
        <v>3142.3333333333335</v>
      </c>
      <c r="J159" s="10">
        <v>0.1</v>
      </c>
      <c r="K159" s="8">
        <f>G159-(G159*J159)</f>
        <v>5399.1</v>
      </c>
      <c r="L159" s="9">
        <v>46257</v>
      </c>
    </row>
    <row r="160" spans="1:12" x14ac:dyDescent="0.3">
      <c r="A160" s="6" t="s">
        <v>316</v>
      </c>
      <c r="B160" s="7">
        <v>9789635724932</v>
      </c>
      <c r="C160" s="7" t="s">
        <v>530</v>
      </c>
      <c r="D160" s="6" t="s">
        <v>317</v>
      </c>
      <c r="E160" s="6"/>
      <c r="F160" s="6">
        <v>2</v>
      </c>
      <c r="G160" s="8">
        <v>5999</v>
      </c>
      <c r="H160" s="11">
        <f t="shared" si="5"/>
        <v>5713.333333333333</v>
      </c>
      <c r="I160" s="11">
        <f t="shared" si="6"/>
        <v>3142.3333333333335</v>
      </c>
      <c r="J160" s="10">
        <v>0.1</v>
      </c>
      <c r="K160" s="8">
        <f>G160-(G160*J160)</f>
        <v>5399.1</v>
      </c>
      <c r="L160" s="9">
        <v>46222</v>
      </c>
    </row>
    <row r="161" spans="1:12" x14ac:dyDescent="0.3">
      <c r="A161" s="6" t="s">
        <v>318</v>
      </c>
      <c r="B161" s="7">
        <v>9789635724468</v>
      </c>
      <c r="C161" s="7" t="s">
        <v>453</v>
      </c>
      <c r="D161" s="6" t="s">
        <v>319</v>
      </c>
      <c r="E161" s="6"/>
      <c r="F161" s="6">
        <v>2</v>
      </c>
      <c r="G161" s="8">
        <v>4999</v>
      </c>
      <c r="H161" s="11">
        <f t="shared" si="5"/>
        <v>4760.9523809523807</v>
      </c>
      <c r="I161" s="11">
        <f t="shared" si="6"/>
        <v>2618.5238095238096</v>
      </c>
      <c r="J161" s="10">
        <v>0.2</v>
      </c>
      <c r="K161" s="8">
        <f>G161-(G161*J161)</f>
        <v>3999.2</v>
      </c>
      <c r="L161" s="9"/>
    </row>
    <row r="162" spans="1:12" x14ac:dyDescent="0.3">
      <c r="A162" s="6" t="s">
        <v>320</v>
      </c>
      <c r="B162" s="7">
        <v>9789635723058</v>
      </c>
      <c r="C162" s="7" t="s">
        <v>490</v>
      </c>
      <c r="D162" s="6" t="s">
        <v>321</v>
      </c>
      <c r="E162" s="6">
        <v>3</v>
      </c>
      <c r="F162" s="6"/>
      <c r="G162" s="8">
        <v>4999</v>
      </c>
      <c r="H162" s="11">
        <f t="shared" si="5"/>
        <v>4760.9523809523807</v>
      </c>
      <c r="I162" s="11">
        <f>K162*0.55</f>
        <v>1374.7250000000001</v>
      </c>
      <c r="J162" s="10">
        <v>0.5</v>
      </c>
      <c r="K162" s="8">
        <f>G162-(G162*J162)</f>
        <v>2499.5</v>
      </c>
      <c r="L162" s="9"/>
    </row>
    <row r="163" spans="1:12" x14ac:dyDescent="0.3">
      <c r="A163" s="6" t="s">
        <v>322</v>
      </c>
      <c r="B163" s="7">
        <v>9789635725731</v>
      </c>
      <c r="C163" s="7" t="s">
        <v>531</v>
      </c>
      <c r="D163" s="6" t="s">
        <v>323</v>
      </c>
      <c r="E163" s="6"/>
      <c r="F163" s="6">
        <v>2</v>
      </c>
      <c r="G163" s="8">
        <v>3999</v>
      </c>
      <c r="H163" s="11">
        <f t="shared" si="5"/>
        <v>3808.5714285714284</v>
      </c>
      <c r="I163" s="11">
        <f t="shared" si="6"/>
        <v>2094.7142857142858</v>
      </c>
      <c r="J163" s="10">
        <v>0.1</v>
      </c>
      <c r="K163" s="8">
        <f>G163-(G163*J163)</f>
        <v>3599.1</v>
      </c>
      <c r="L163" s="9">
        <v>46229</v>
      </c>
    </row>
    <row r="164" spans="1:12" x14ac:dyDescent="0.3">
      <c r="A164" s="6" t="s">
        <v>324</v>
      </c>
      <c r="B164" s="7">
        <v>9789635725748</v>
      </c>
      <c r="C164" s="7" t="s">
        <v>531</v>
      </c>
      <c r="D164" s="6" t="s">
        <v>325</v>
      </c>
      <c r="E164" s="6"/>
      <c r="F164" s="6">
        <v>2</v>
      </c>
      <c r="G164" s="8">
        <v>3999</v>
      </c>
      <c r="H164" s="11">
        <f t="shared" si="5"/>
        <v>3808.5714285714284</v>
      </c>
      <c r="I164" s="11">
        <f t="shared" si="6"/>
        <v>2094.7142857142858</v>
      </c>
      <c r="J164" s="10">
        <v>0.1</v>
      </c>
      <c r="K164" s="8">
        <f>G164-(G164*J164)</f>
        <v>3599.1</v>
      </c>
      <c r="L164" s="9">
        <v>46320</v>
      </c>
    </row>
    <row r="165" spans="1:12" x14ac:dyDescent="0.3">
      <c r="A165" s="6" t="s">
        <v>326</v>
      </c>
      <c r="B165" s="7">
        <v>9789635725755</v>
      </c>
      <c r="C165" s="7" t="s">
        <v>531</v>
      </c>
      <c r="D165" s="6" t="s">
        <v>327</v>
      </c>
      <c r="E165" s="6"/>
      <c r="F165" s="6">
        <v>2</v>
      </c>
      <c r="G165" s="8">
        <v>2999</v>
      </c>
      <c r="H165" s="11">
        <f t="shared" si="5"/>
        <v>2856.1904761904761</v>
      </c>
      <c r="I165" s="11">
        <f t="shared" si="6"/>
        <v>1570.9047619047619</v>
      </c>
      <c r="J165" s="10">
        <v>0.1</v>
      </c>
      <c r="K165" s="8">
        <f>G165-(G165*J165)</f>
        <v>2699.1</v>
      </c>
      <c r="L165" s="9">
        <v>46474</v>
      </c>
    </row>
    <row r="166" spans="1:12" x14ac:dyDescent="0.3">
      <c r="A166" s="6" t="s">
        <v>328</v>
      </c>
      <c r="B166" s="7">
        <v>9789635723867</v>
      </c>
      <c r="C166" s="7" t="s">
        <v>532</v>
      </c>
      <c r="D166" s="6" t="s">
        <v>329</v>
      </c>
      <c r="E166" s="6"/>
      <c r="F166" s="6">
        <v>2</v>
      </c>
      <c r="G166" s="8">
        <v>6999</v>
      </c>
      <c r="H166" s="11">
        <f t="shared" si="5"/>
        <v>6665.7142857142853</v>
      </c>
      <c r="I166" s="11">
        <f t="shared" si="6"/>
        <v>3666.1428571428573</v>
      </c>
      <c r="J166" s="10">
        <v>0.2</v>
      </c>
      <c r="K166" s="8">
        <f>G166-(G166*J166)</f>
        <v>5599.2</v>
      </c>
      <c r="L166" s="9"/>
    </row>
    <row r="167" spans="1:12" x14ac:dyDescent="0.3">
      <c r="A167" s="6" t="s">
        <v>331</v>
      </c>
      <c r="B167" s="7">
        <v>9789635723102</v>
      </c>
      <c r="C167" s="7" t="s">
        <v>532</v>
      </c>
      <c r="D167" s="6" t="s">
        <v>330</v>
      </c>
      <c r="E167" s="6"/>
      <c r="F167" s="6">
        <v>2</v>
      </c>
      <c r="G167" s="8">
        <v>6999</v>
      </c>
      <c r="H167" s="11">
        <f t="shared" si="5"/>
        <v>6665.7142857142853</v>
      </c>
      <c r="I167" s="11">
        <f t="shared" si="6"/>
        <v>3666.1428571428573</v>
      </c>
      <c r="J167" s="10">
        <v>0.2</v>
      </c>
      <c r="K167" s="8">
        <f>G167-(G167*J167)</f>
        <v>5599.2</v>
      </c>
      <c r="L167" s="9"/>
    </row>
    <row r="168" spans="1:12" x14ac:dyDescent="0.3">
      <c r="A168" s="6" t="s">
        <v>332</v>
      </c>
      <c r="B168" s="7">
        <v>9789635723096</v>
      </c>
      <c r="C168" s="7" t="s">
        <v>532</v>
      </c>
      <c r="D168" s="6" t="s">
        <v>333</v>
      </c>
      <c r="E168" s="6"/>
      <c r="F168" s="6">
        <v>2</v>
      </c>
      <c r="G168" s="8">
        <v>6999</v>
      </c>
      <c r="H168" s="11">
        <f t="shared" si="5"/>
        <v>6665.7142857142853</v>
      </c>
      <c r="I168" s="11">
        <f t="shared" si="6"/>
        <v>3666.1428571428573</v>
      </c>
      <c r="J168" s="10">
        <v>0.2</v>
      </c>
      <c r="K168" s="8">
        <f>G168-(G168*J168)</f>
        <v>5599.2</v>
      </c>
      <c r="L168" s="9"/>
    </row>
    <row r="169" spans="1:12" x14ac:dyDescent="0.3">
      <c r="A169" s="6" t="s">
        <v>335</v>
      </c>
      <c r="B169" s="7">
        <v>9789635724994</v>
      </c>
      <c r="C169" s="7" t="s">
        <v>532</v>
      </c>
      <c r="D169" s="6" t="s">
        <v>334</v>
      </c>
      <c r="E169" s="6"/>
      <c r="F169" s="6">
        <v>2</v>
      </c>
      <c r="G169" s="8">
        <v>6999</v>
      </c>
      <c r="H169" s="11">
        <f t="shared" si="5"/>
        <v>6665.7142857142853</v>
      </c>
      <c r="I169" s="11">
        <f t="shared" si="6"/>
        <v>3666.1428571428573</v>
      </c>
      <c r="J169" s="10">
        <v>0.2</v>
      </c>
      <c r="K169" s="8">
        <f>G169-(G169*J169)</f>
        <v>5599.2</v>
      </c>
      <c r="L169" s="9"/>
    </row>
    <row r="170" spans="1:12" x14ac:dyDescent="0.3">
      <c r="A170" s="6" t="s">
        <v>336</v>
      </c>
      <c r="B170" s="7">
        <v>9789635724147</v>
      </c>
      <c r="C170" s="7" t="s">
        <v>533</v>
      </c>
      <c r="D170" s="6" t="s">
        <v>337</v>
      </c>
      <c r="E170" s="6"/>
      <c r="F170" s="6">
        <v>2</v>
      </c>
      <c r="G170" s="8">
        <v>6999</v>
      </c>
      <c r="H170" s="11">
        <f t="shared" si="5"/>
        <v>6665.7142857142853</v>
      </c>
      <c r="I170" s="11">
        <f t="shared" si="6"/>
        <v>3666.1428571428573</v>
      </c>
      <c r="J170" s="10">
        <v>0.1</v>
      </c>
      <c r="K170" s="8">
        <f>G170-(G170*J170)</f>
        <v>6299.1</v>
      </c>
      <c r="L170" s="9">
        <v>46336</v>
      </c>
    </row>
    <row r="171" spans="1:12" x14ac:dyDescent="0.3">
      <c r="A171" s="6" t="s">
        <v>338</v>
      </c>
      <c r="B171" s="7">
        <v>9789635726615</v>
      </c>
      <c r="C171" s="7" t="s">
        <v>514</v>
      </c>
      <c r="D171" s="6" t="s">
        <v>339</v>
      </c>
      <c r="E171" s="6"/>
      <c r="F171" s="6">
        <v>5</v>
      </c>
      <c r="G171" s="8">
        <v>4999</v>
      </c>
      <c r="H171" s="11">
        <f t="shared" si="5"/>
        <v>4760.9523809523807</v>
      </c>
      <c r="I171" s="11">
        <f t="shared" si="6"/>
        <v>2618.5238095238096</v>
      </c>
      <c r="J171" s="10">
        <v>0.2</v>
      </c>
      <c r="K171" s="8">
        <f>G171-(G171*J171)</f>
        <v>3999.2</v>
      </c>
      <c r="L171" s="9"/>
    </row>
    <row r="172" spans="1:12" x14ac:dyDescent="0.3">
      <c r="A172" s="6" t="s">
        <v>341</v>
      </c>
      <c r="B172" s="7">
        <v>9789635726622</v>
      </c>
      <c r="C172" s="7" t="s">
        <v>514</v>
      </c>
      <c r="D172" s="6" t="s">
        <v>340</v>
      </c>
      <c r="E172" s="6"/>
      <c r="F172" s="6">
        <v>5</v>
      </c>
      <c r="G172" s="8">
        <v>4999</v>
      </c>
      <c r="H172" s="11">
        <f t="shared" si="5"/>
        <v>4760.9523809523807</v>
      </c>
      <c r="I172" s="11">
        <f t="shared" si="6"/>
        <v>2618.5238095238096</v>
      </c>
      <c r="J172" s="10">
        <v>0.2</v>
      </c>
      <c r="K172" s="8">
        <f>G172-(G172*J172)</f>
        <v>3999.2</v>
      </c>
      <c r="L172" s="9"/>
    </row>
    <row r="173" spans="1:12" x14ac:dyDescent="0.3">
      <c r="A173" s="6" t="s">
        <v>343</v>
      </c>
      <c r="B173" s="7">
        <v>9789635726639</v>
      </c>
      <c r="C173" s="7" t="s">
        <v>514</v>
      </c>
      <c r="D173" s="6" t="s">
        <v>342</v>
      </c>
      <c r="E173" s="6"/>
      <c r="F173" s="6">
        <v>5</v>
      </c>
      <c r="G173" s="8">
        <v>4999</v>
      </c>
      <c r="H173" s="11">
        <f t="shared" si="5"/>
        <v>4760.9523809523807</v>
      </c>
      <c r="I173" s="11">
        <f t="shared" si="6"/>
        <v>2618.5238095238096</v>
      </c>
      <c r="J173" s="10">
        <v>0.2</v>
      </c>
      <c r="K173" s="8">
        <f>G173-(G173*J173)</f>
        <v>3999.2</v>
      </c>
      <c r="L173" s="9"/>
    </row>
    <row r="174" spans="1:12" x14ac:dyDescent="0.3">
      <c r="A174" s="6" t="s">
        <v>345</v>
      </c>
      <c r="B174" s="7">
        <v>9789635726646</v>
      </c>
      <c r="C174" s="7" t="s">
        <v>514</v>
      </c>
      <c r="D174" s="6" t="s">
        <v>344</v>
      </c>
      <c r="E174" s="6"/>
      <c r="F174" s="6">
        <v>5</v>
      </c>
      <c r="G174" s="8">
        <v>4999</v>
      </c>
      <c r="H174" s="11">
        <f t="shared" si="5"/>
        <v>4760.9523809523807</v>
      </c>
      <c r="I174" s="11">
        <f t="shared" si="6"/>
        <v>2618.5238095238096</v>
      </c>
      <c r="J174" s="10">
        <v>0.2</v>
      </c>
      <c r="K174" s="8">
        <f>G174-(G174*J174)</f>
        <v>3999.2</v>
      </c>
      <c r="L174" s="9"/>
    </row>
    <row r="175" spans="1:12" x14ac:dyDescent="0.3">
      <c r="A175" s="6" t="s">
        <v>346</v>
      </c>
      <c r="B175" s="7">
        <v>9789635726653</v>
      </c>
      <c r="C175" s="7" t="s">
        <v>514</v>
      </c>
      <c r="D175" s="6" t="s">
        <v>347</v>
      </c>
      <c r="E175" s="6"/>
      <c r="F175" s="6">
        <v>5</v>
      </c>
      <c r="G175" s="8">
        <v>4999</v>
      </c>
      <c r="H175" s="11">
        <f t="shared" si="5"/>
        <v>4760.9523809523807</v>
      </c>
      <c r="I175" s="11">
        <f t="shared" si="6"/>
        <v>2618.5238095238096</v>
      </c>
      <c r="J175" s="10">
        <v>0.2</v>
      </c>
      <c r="K175" s="8">
        <f>G175-(G175*J175)</f>
        <v>3999.2</v>
      </c>
      <c r="L175" s="9"/>
    </row>
    <row r="176" spans="1:12" x14ac:dyDescent="0.3">
      <c r="A176" s="6" t="s">
        <v>348</v>
      </c>
      <c r="B176" s="7">
        <v>9789635726608</v>
      </c>
      <c r="C176" s="7" t="s">
        <v>514</v>
      </c>
      <c r="D176" s="6" t="s">
        <v>349</v>
      </c>
      <c r="E176" s="6"/>
      <c r="F176" s="6">
        <v>5</v>
      </c>
      <c r="G176" s="8">
        <v>4999</v>
      </c>
      <c r="H176" s="11">
        <f t="shared" si="5"/>
        <v>4760.9523809523807</v>
      </c>
      <c r="I176" s="11">
        <f t="shared" si="6"/>
        <v>2618.5238095238096</v>
      </c>
      <c r="J176" s="10">
        <v>0.2</v>
      </c>
      <c r="K176" s="8">
        <f>G176-(G176*J176)</f>
        <v>3999.2</v>
      </c>
      <c r="L176" s="9"/>
    </row>
    <row r="177" spans="1:12" x14ac:dyDescent="0.3">
      <c r="A177" s="6" t="s">
        <v>350</v>
      </c>
      <c r="B177" s="7">
        <v>9789635726028</v>
      </c>
      <c r="C177" s="7" t="s">
        <v>514</v>
      </c>
      <c r="D177" s="6" t="s">
        <v>351</v>
      </c>
      <c r="E177" s="6"/>
      <c r="F177" s="6">
        <v>5</v>
      </c>
      <c r="G177" s="8">
        <v>2699</v>
      </c>
      <c r="H177" s="11">
        <f t="shared" si="5"/>
        <v>2570.4761904761904</v>
      </c>
      <c r="I177" s="11">
        <f t="shared" si="6"/>
        <v>1413.7619047619048</v>
      </c>
      <c r="J177" s="10">
        <v>0.1</v>
      </c>
      <c r="K177" s="8">
        <f>G177-(G177*J177)</f>
        <v>2429.1</v>
      </c>
      <c r="L177" s="9">
        <v>46222</v>
      </c>
    </row>
    <row r="178" spans="1:12" x14ac:dyDescent="0.3">
      <c r="A178" s="6" t="s">
        <v>352</v>
      </c>
      <c r="B178" s="7">
        <v>9789635726035</v>
      </c>
      <c r="C178" s="7" t="s">
        <v>514</v>
      </c>
      <c r="D178" s="6" t="s">
        <v>353</v>
      </c>
      <c r="E178" s="6"/>
      <c r="F178" s="6">
        <v>5</v>
      </c>
      <c r="G178" s="8">
        <v>2699</v>
      </c>
      <c r="H178" s="11">
        <f t="shared" si="5"/>
        <v>2570.4761904761904</v>
      </c>
      <c r="I178" s="11">
        <f t="shared" si="6"/>
        <v>1413.7619047619048</v>
      </c>
      <c r="J178" s="10">
        <v>0.1</v>
      </c>
      <c r="K178" s="8">
        <f>G178-(G178*J178)</f>
        <v>2429.1</v>
      </c>
      <c r="L178" s="9">
        <v>46222</v>
      </c>
    </row>
    <row r="179" spans="1:12" x14ac:dyDescent="0.3">
      <c r="A179" s="6" t="s">
        <v>354</v>
      </c>
      <c r="B179" s="7">
        <v>9789635725021</v>
      </c>
      <c r="C179" s="7" t="s">
        <v>534</v>
      </c>
      <c r="D179" s="6" t="s">
        <v>355</v>
      </c>
      <c r="E179" s="6">
        <v>3</v>
      </c>
      <c r="F179" s="6"/>
      <c r="G179" s="8">
        <v>4999</v>
      </c>
      <c r="H179" s="11">
        <f t="shared" si="5"/>
        <v>4760.9523809523807</v>
      </c>
      <c r="I179" s="11">
        <f>K179*0.55</f>
        <v>1374.7250000000001</v>
      </c>
      <c r="J179" s="10">
        <v>0.5</v>
      </c>
      <c r="K179" s="8">
        <f>G179-(G179*J179)</f>
        <v>2499.5</v>
      </c>
      <c r="L179" s="9"/>
    </row>
    <row r="180" spans="1:12" x14ac:dyDescent="0.3">
      <c r="A180" s="6" t="s">
        <v>356</v>
      </c>
      <c r="B180" s="7">
        <v>9789635720354</v>
      </c>
      <c r="C180" s="7" t="s">
        <v>433</v>
      </c>
      <c r="D180" s="6" t="s">
        <v>357</v>
      </c>
      <c r="E180" s="6"/>
      <c r="F180" s="6">
        <v>2</v>
      </c>
      <c r="G180" s="8">
        <v>2999</v>
      </c>
      <c r="H180" s="11">
        <f t="shared" si="5"/>
        <v>2856.1904761904761</v>
      </c>
      <c r="I180" s="11">
        <f t="shared" si="6"/>
        <v>1570.9047619047619</v>
      </c>
      <c r="J180" s="10">
        <v>0.2</v>
      </c>
      <c r="K180" s="8">
        <f>G180-(G180*J180)</f>
        <v>2399.1999999999998</v>
      </c>
      <c r="L180" s="9"/>
    </row>
    <row r="181" spans="1:12" x14ac:dyDescent="0.3">
      <c r="A181" s="6" t="s">
        <v>358</v>
      </c>
      <c r="B181" s="7">
        <v>9789635722389</v>
      </c>
      <c r="C181" s="7" t="s">
        <v>479</v>
      </c>
      <c r="D181" s="6" t="s">
        <v>359</v>
      </c>
      <c r="E181" s="6">
        <v>3</v>
      </c>
      <c r="F181" s="6"/>
      <c r="G181" s="8">
        <v>4999</v>
      </c>
      <c r="H181" s="11">
        <f t="shared" si="5"/>
        <v>4760.9523809523807</v>
      </c>
      <c r="I181" s="11">
        <f>K181*0.55</f>
        <v>1374.7250000000001</v>
      </c>
      <c r="J181" s="10">
        <v>0.5</v>
      </c>
      <c r="K181" s="8">
        <f>G181-(G181*J181)</f>
        <v>2499.5</v>
      </c>
      <c r="L181" s="9"/>
    </row>
    <row r="182" spans="1:12" x14ac:dyDescent="0.3">
      <c r="A182" s="6" t="s">
        <v>360</v>
      </c>
      <c r="B182" s="7">
        <v>9789635724055</v>
      </c>
      <c r="C182" s="7" t="s">
        <v>499</v>
      </c>
      <c r="D182" s="6" t="s">
        <v>361</v>
      </c>
      <c r="E182" s="6"/>
      <c r="F182" s="6">
        <v>2</v>
      </c>
      <c r="G182" s="8">
        <v>5499</v>
      </c>
      <c r="H182" s="11">
        <f t="shared" si="5"/>
        <v>5237.1428571428569</v>
      </c>
      <c r="I182" s="11">
        <f t="shared" si="6"/>
        <v>2880.4285714285716</v>
      </c>
      <c r="J182" s="10">
        <v>0.2</v>
      </c>
      <c r="K182" s="8">
        <f>G182-(G182*J182)</f>
        <v>4399.2</v>
      </c>
      <c r="L182" s="9"/>
    </row>
    <row r="183" spans="1:12" x14ac:dyDescent="0.3">
      <c r="A183" s="6" t="s">
        <v>362</v>
      </c>
      <c r="B183" s="7">
        <v>9789635722914</v>
      </c>
      <c r="C183" s="7" t="s">
        <v>433</v>
      </c>
      <c r="D183" s="6" t="s">
        <v>363</v>
      </c>
      <c r="E183" s="6"/>
      <c r="F183" s="6">
        <v>2</v>
      </c>
      <c r="G183" s="8">
        <v>6999</v>
      </c>
      <c r="H183" s="11">
        <f t="shared" si="5"/>
        <v>6665.7142857142853</v>
      </c>
      <c r="I183" s="11">
        <f t="shared" si="6"/>
        <v>3666.1428571428573</v>
      </c>
      <c r="J183" s="10">
        <v>0.2</v>
      </c>
      <c r="K183" s="8">
        <f>G183-(G183*J183)</f>
        <v>5599.2</v>
      </c>
      <c r="L183" s="9"/>
    </row>
    <row r="184" spans="1:12" x14ac:dyDescent="0.3">
      <c r="A184" s="6" t="s">
        <v>364</v>
      </c>
      <c r="B184" s="7">
        <v>9789635725632</v>
      </c>
      <c r="C184" s="7" t="s">
        <v>535</v>
      </c>
      <c r="D184" s="6" t="s">
        <v>365</v>
      </c>
      <c r="E184" s="6"/>
      <c r="F184" s="6">
        <v>2</v>
      </c>
      <c r="G184" s="8">
        <v>5999</v>
      </c>
      <c r="H184" s="11">
        <f t="shared" si="5"/>
        <v>5713.333333333333</v>
      </c>
      <c r="I184" s="11">
        <f t="shared" si="6"/>
        <v>3142.3333333333335</v>
      </c>
      <c r="J184" s="10">
        <v>0.1</v>
      </c>
      <c r="K184" s="8">
        <f>G184-(G184*J184)</f>
        <v>5399.1</v>
      </c>
      <c r="L184" s="9">
        <v>46251</v>
      </c>
    </row>
    <row r="185" spans="1:12" x14ac:dyDescent="0.3">
      <c r="A185" s="6" t="s">
        <v>366</v>
      </c>
      <c r="B185" s="7">
        <v>9789635723881</v>
      </c>
      <c r="C185" s="7" t="s">
        <v>536</v>
      </c>
      <c r="D185" s="6" t="s">
        <v>367</v>
      </c>
      <c r="E185" s="6">
        <v>3</v>
      </c>
      <c r="F185" s="6"/>
      <c r="G185" s="8">
        <v>4999</v>
      </c>
      <c r="H185" s="11">
        <f t="shared" si="5"/>
        <v>4760.9523809523807</v>
      </c>
      <c r="I185" s="11">
        <f t="shared" ref="I185:I186" si="8">K185*0.55</f>
        <v>1374.7250000000001</v>
      </c>
      <c r="J185" s="10">
        <v>0.5</v>
      </c>
      <c r="K185" s="8">
        <f>G185-(G185*J185)</f>
        <v>2499.5</v>
      </c>
      <c r="L185" s="9"/>
    </row>
    <row r="186" spans="1:12" x14ac:dyDescent="0.3">
      <c r="A186" s="6" t="s">
        <v>368</v>
      </c>
      <c r="B186" s="7">
        <v>9789635720682</v>
      </c>
      <c r="C186" s="7" t="s">
        <v>537</v>
      </c>
      <c r="D186" s="6" t="s">
        <v>369</v>
      </c>
      <c r="E186" s="6">
        <v>3</v>
      </c>
      <c r="F186" s="6"/>
      <c r="G186" s="8">
        <v>4999</v>
      </c>
      <c r="H186" s="11">
        <f t="shared" si="5"/>
        <v>4760.9523809523807</v>
      </c>
      <c r="I186" s="11">
        <f t="shared" si="8"/>
        <v>1374.7250000000001</v>
      </c>
      <c r="J186" s="10">
        <v>0.5</v>
      </c>
      <c r="K186" s="8">
        <f>G186-(G186*J186)</f>
        <v>2499.5</v>
      </c>
      <c r="L186" s="9"/>
    </row>
    <row r="187" spans="1:12" x14ac:dyDescent="0.3">
      <c r="A187" s="6" t="s">
        <v>370</v>
      </c>
      <c r="B187" s="7">
        <v>9789635721115</v>
      </c>
      <c r="C187" s="7" t="s">
        <v>495</v>
      </c>
      <c r="D187" s="6" t="s">
        <v>371</v>
      </c>
      <c r="E187" s="6"/>
      <c r="F187" s="6">
        <v>2</v>
      </c>
      <c r="G187" s="8">
        <v>3499</v>
      </c>
      <c r="H187" s="11">
        <f t="shared" si="5"/>
        <v>3332.3809523809523</v>
      </c>
      <c r="I187" s="11">
        <f t="shared" si="6"/>
        <v>1832.8095238095239</v>
      </c>
      <c r="J187" s="10">
        <v>0.2</v>
      </c>
      <c r="K187" s="8">
        <f>G187-(G187*J187)</f>
        <v>2799.2</v>
      </c>
      <c r="L187" s="9"/>
    </row>
    <row r="188" spans="1:12" x14ac:dyDescent="0.3">
      <c r="A188" s="6" t="s">
        <v>372</v>
      </c>
      <c r="B188" s="7">
        <v>9789635724833</v>
      </c>
      <c r="C188" s="7" t="s">
        <v>538</v>
      </c>
      <c r="D188" s="6" t="s">
        <v>373</v>
      </c>
      <c r="E188" s="6"/>
      <c r="F188" s="6">
        <v>2</v>
      </c>
      <c r="G188" s="8">
        <v>5999</v>
      </c>
      <c r="H188" s="11">
        <f t="shared" si="5"/>
        <v>5713.333333333333</v>
      </c>
      <c r="I188" s="11">
        <f t="shared" si="6"/>
        <v>3142.3333333333335</v>
      </c>
      <c r="J188" s="10">
        <v>0.2</v>
      </c>
      <c r="K188" s="8">
        <f>G188-(G188*J188)</f>
        <v>4799.2</v>
      </c>
      <c r="L188" s="9"/>
    </row>
    <row r="189" spans="1:12" x14ac:dyDescent="0.3">
      <c r="A189" s="6" t="s">
        <v>374</v>
      </c>
      <c r="B189" s="7">
        <v>9789635722396</v>
      </c>
      <c r="C189" s="7" t="s">
        <v>539</v>
      </c>
      <c r="D189" s="6" t="s">
        <v>375</v>
      </c>
      <c r="E189" s="6">
        <v>3</v>
      </c>
      <c r="F189" s="6"/>
      <c r="G189" s="8">
        <v>8999</v>
      </c>
      <c r="H189" s="11">
        <f t="shared" si="5"/>
        <v>8570.4761904761908</v>
      </c>
      <c r="I189" s="11">
        <f>K189*0.55</f>
        <v>2474.7250000000004</v>
      </c>
      <c r="J189" s="10">
        <v>0.5</v>
      </c>
      <c r="K189" s="8">
        <f>G189-(G189*J189)</f>
        <v>4499.5</v>
      </c>
      <c r="L189" s="9"/>
    </row>
    <row r="190" spans="1:12" x14ac:dyDescent="0.3">
      <c r="A190" s="6" t="s">
        <v>376</v>
      </c>
      <c r="B190" s="7">
        <v>9789635726417</v>
      </c>
      <c r="C190" s="7" t="s">
        <v>438</v>
      </c>
      <c r="D190" s="6" t="s">
        <v>377</v>
      </c>
      <c r="E190" s="6"/>
      <c r="F190" s="6">
        <v>2</v>
      </c>
      <c r="G190" s="8">
        <v>5999</v>
      </c>
      <c r="H190" s="11">
        <f t="shared" si="5"/>
        <v>5713.333333333333</v>
      </c>
      <c r="I190" s="11">
        <f t="shared" si="6"/>
        <v>3142.3333333333335</v>
      </c>
      <c r="J190" s="10">
        <v>0.1</v>
      </c>
      <c r="K190" s="8">
        <f>G190-(G190*J190)</f>
        <v>5399.1</v>
      </c>
      <c r="L190" s="9">
        <v>46278</v>
      </c>
    </row>
    <row r="191" spans="1:12" x14ac:dyDescent="0.3">
      <c r="A191" s="6" t="s">
        <v>378</v>
      </c>
      <c r="B191" s="7">
        <v>9789635721023</v>
      </c>
      <c r="C191" s="7" t="s">
        <v>499</v>
      </c>
      <c r="D191" s="6" t="s">
        <v>379</v>
      </c>
      <c r="E191" s="6"/>
      <c r="F191" s="6">
        <v>2</v>
      </c>
      <c r="G191" s="8">
        <v>4999</v>
      </c>
      <c r="H191" s="11">
        <f t="shared" si="5"/>
        <v>4760.9523809523807</v>
      </c>
      <c r="I191" s="11">
        <f t="shared" si="6"/>
        <v>2618.5238095238096</v>
      </c>
      <c r="J191" s="10">
        <v>0.2</v>
      </c>
      <c r="K191" s="8">
        <f>G191-(G191*J191)</f>
        <v>3999.2</v>
      </c>
      <c r="L191" s="9"/>
    </row>
    <row r="192" spans="1:12" x14ac:dyDescent="0.3">
      <c r="A192" s="6" t="s">
        <v>381</v>
      </c>
      <c r="B192" s="7">
        <v>9789635726332</v>
      </c>
      <c r="C192" s="7" t="s">
        <v>462</v>
      </c>
      <c r="D192" s="6" t="s">
        <v>380</v>
      </c>
      <c r="E192" s="6"/>
      <c r="F192" s="6">
        <v>3</v>
      </c>
      <c r="G192" s="8">
        <v>5999</v>
      </c>
      <c r="H192" s="11">
        <f t="shared" si="5"/>
        <v>5713.333333333333</v>
      </c>
      <c r="I192" s="11">
        <f t="shared" si="6"/>
        <v>3142.3333333333335</v>
      </c>
      <c r="J192" s="10">
        <v>0.2</v>
      </c>
      <c r="K192" s="8">
        <f>G192-(G192*J192)</f>
        <v>4799.2</v>
      </c>
      <c r="L192" s="9"/>
    </row>
    <row r="193" spans="1:12" x14ac:dyDescent="0.3">
      <c r="A193" s="6" t="s">
        <v>382</v>
      </c>
      <c r="B193" s="7">
        <v>9789635724246</v>
      </c>
      <c r="C193" s="7" t="s">
        <v>474</v>
      </c>
      <c r="D193" s="6" t="s">
        <v>383</v>
      </c>
      <c r="E193" s="6"/>
      <c r="F193" s="6">
        <v>2</v>
      </c>
      <c r="G193" s="8">
        <v>5999</v>
      </c>
      <c r="H193" s="11">
        <f t="shared" si="5"/>
        <v>5713.333333333333</v>
      </c>
      <c r="I193" s="11">
        <f t="shared" si="6"/>
        <v>3142.3333333333335</v>
      </c>
      <c r="J193" s="10">
        <v>0.1</v>
      </c>
      <c r="K193" s="8">
        <f>G193-(G193*J193)</f>
        <v>5399.1</v>
      </c>
      <c r="L193" s="9">
        <v>46187</v>
      </c>
    </row>
    <row r="194" spans="1:12" x14ac:dyDescent="0.3">
      <c r="A194" s="6" t="s">
        <v>384</v>
      </c>
      <c r="B194" s="7">
        <v>9789635726912</v>
      </c>
      <c r="C194" s="7" t="s">
        <v>540</v>
      </c>
      <c r="D194" s="6" t="s">
        <v>385</v>
      </c>
      <c r="E194" s="6"/>
      <c r="F194" s="6">
        <v>2</v>
      </c>
      <c r="G194" s="8">
        <v>5999</v>
      </c>
      <c r="H194" s="11">
        <f t="shared" si="5"/>
        <v>5713.333333333333</v>
      </c>
      <c r="I194" s="11">
        <f t="shared" si="6"/>
        <v>3142.3333333333335</v>
      </c>
      <c r="J194" s="10">
        <v>0.1</v>
      </c>
      <c r="K194" s="8">
        <f>G194-(G194*J194)</f>
        <v>5399.1</v>
      </c>
      <c r="L194" s="9">
        <v>46334</v>
      </c>
    </row>
    <row r="195" spans="1:12" x14ac:dyDescent="0.3">
      <c r="A195" s="6" t="s">
        <v>386</v>
      </c>
      <c r="B195" s="7">
        <v>9789635724185</v>
      </c>
      <c r="C195" s="7" t="s">
        <v>433</v>
      </c>
      <c r="D195" s="6" t="s">
        <v>387</v>
      </c>
      <c r="E195" s="6"/>
      <c r="F195" s="6">
        <v>2</v>
      </c>
      <c r="G195" s="8">
        <v>5999</v>
      </c>
      <c r="H195" s="11">
        <f t="shared" si="5"/>
        <v>5713.333333333333</v>
      </c>
      <c r="I195" s="11">
        <f t="shared" si="6"/>
        <v>3142.3333333333335</v>
      </c>
      <c r="J195" s="10">
        <v>0.2</v>
      </c>
      <c r="K195" s="8">
        <f>G195-(G195*J195)</f>
        <v>4799.2</v>
      </c>
      <c r="L195" s="9"/>
    </row>
    <row r="196" spans="1:12" x14ac:dyDescent="0.3">
      <c r="A196" s="6" t="s">
        <v>388</v>
      </c>
      <c r="B196" s="7">
        <v>9789635727346</v>
      </c>
      <c r="C196" s="7" t="s">
        <v>541</v>
      </c>
      <c r="D196" s="6" t="s">
        <v>389</v>
      </c>
      <c r="E196" s="6"/>
      <c r="F196" s="6">
        <v>2</v>
      </c>
      <c r="G196" s="8">
        <v>5999</v>
      </c>
      <c r="H196" s="11">
        <f t="shared" ref="H196:H215" si="9">G196/1.05</f>
        <v>5713.333333333333</v>
      </c>
      <c r="I196" s="11">
        <f t="shared" ref="I196:I215" si="10">H196*0.55</f>
        <v>3142.3333333333335</v>
      </c>
      <c r="J196" s="10">
        <v>0.2</v>
      </c>
      <c r="K196" s="8">
        <f>G196-(G196*J196)</f>
        <v>4799.2</v>
      </c>
      <c r="L196" s="9"/>
    </row>
    <row r="197" spans="1:12" x14ac:dyDescent="0.3">
      <c r="A197" s="6" t="s">
        <v>390</v>
      </c>
      <c r="B197" s="7">
        <v>9789635723461</v>
      </c>
      <c r="C197" s="7" t="s">
        <v>443</v>
      </c>
      <c r="D197" s="6" t="s">
        <v>391</v>
      </c>
      <c r="E197" s="6"/>
      <c r="F197" s="6">
        <v>2</v>
      </c>
      <c r="G197" s="8">
        <v>4999</v>
      </c>
      <c r="H197" s="11">
        <f t="shared" si="9"/>
        <v>4760.9523809523807</v>
      </c>
      <c r="I197" s="11">
        <f t="shared" si="10"/>
        <v>2618.5238095238096</v>
      </c>
      <c r="J197" s="10">
        <v>0.2</v>
      </c>
      <c r="K197" s="8">
        <f>G197-(G197*J197)</f>
        <v>3999.2</v>
      </c>
      <c r="L197" s="9"/>
    </row>
    <row r="198" spans="1:12" x14ac:dyDescent="0.3">
      <c r="A198" s="6" t="s">
        <v>392</v>
      </c>
      <c r="B198" s="7">
        <v>9789635723041</v>
      </c>
      <c r="C198" s="7" t="s">
        <v>542</v>
      </c>
      <c r="D198" s="6" t="s">
        <v>393</v>
      </c>
      <c r="E198" s="6">
        <v>3</v>
      </c>
      <c r="F198" s="6"/>
      <c r="G198" s="8">
        <v>4999</v>
      </c>
      <c r="H198" s="11">
        <f t="shared" si="9"/>
        <v>4760.9523809523807</v>
      </c>
      <c r="I198" s="11">
        <f>K198*0.55</f>
        <v>1374.7250000000001</v>
      </c>
      <c r="J198" s="10">
        <v>0.5</v>
      </c>
      <c r="K198" s="8">
        <f>G198-(G198*J198)</f>
        <v>2499.5</v>
      </c>
      <c r="L198" s="9"/>
    </row>
    <row r="199" spans="1:12" x14ac:dyDescent="0.3">
      <c r="A199" s="6" t="s">
        <v>394</v>
      </c>
      <c r="B199" s="7">
        <v>9789635723904</v>
      </c>
      <c r="C199" s="7" t="s">
        <v>436</v>
      </c>
      <c r="D199" s="6" t="s">
        <v>395</v>
      </c>
      <c r="E199" s="6"/>
      <c r="F199" s="6">
        <v>2</v>
      </c>
      <c r="G199" s="8">
        <v>4999</v>
      </c>
      <c r="H199" s="11">
        <f t="shared" si="9"/>
        <v>4760.9523809523807</v>
      </c>
      <c r="I199" s="11">
        <f t="shared" si="10"/>
        <v>2618.5238095238096</v>
      </c>
      <c r="J199" s="10">
        <v>0.2</v>
      </c>
      <c r="K199" s="8">
        <f>G199-(G199*J199)</f>
        <v>3999.2</v>
      </c>
      <c r="L199" s="9"/>
    </row>
    <row r="200" spans="1:12" x14ac:dyDescent="0.3">
      <c r="A200" s="6" t="s">
        <v>396</v>
      </c>
      <c r="B200" s="7">
        <v>9789635724635</v>
      </c>
      <c r="C200" s="7" t="s">
        <v>543</v>
      </c>
      <c r="D200" s="6" t="s">
        <v>397</v>
      </c>
      <c r="E200" s="6"/>
      <c r="F200" s="6">
        <v>2</v>
      </c>
      <c r="G200" s="8">
        <v>5999</v>
      </c>
      <c r="H200" s="11">
        <f t="shared" si="9"/>
        <v>5713.333333333333</v>
      </c>
      <c r="I200" s="11">
        <f t="shared" si="10"/>
        <v>3142.3333333333335</v>
      </c>
      <c r="J200" s="10">
        <v>0.1</v>
      </c>
      <c r="K200" s="8">
        <f>G200-(G200*J200)</f>
        <v>5399.1</v>
      </c>
      <c r="L200" s="9">
        <v>46313</v>
      </c>
    </row>
    <row r="201" spans="1:12" x14ac:dyDescent="0.3">
      <c r="A201" s="6" t="s">
        <v>398</v>
      </c>
      <c r="B201" s="7">
        <v>9789635725847</v>
      </c>
      <c r="C201" s="7" t="s">
        <v>544</v>
      </c>
      <c r="D201" s="6" t="s">
        <v>399</v>
      </c>
      <c r="E201" s="6"/>
      <c r="F201" s="6">
        <v>2</v>
      </c>
      <c r="G201" s="8">
        <v>5999</v>
      </c>
      <c r="H201" s="11">
        <f t="shared" si="9"/>
        <v>5713.333333333333</v>
      </c>
      <c r="I201" s="11">
        <f t="shared" si="10"/>
        <v>3142.3333333333335</v>
      </c>
      <c r="J201" s="10">
        <v>0.1</v>
      </c>
      <c r="K201" s="8">
        <f>G201-(G201*J201)</f>
        <v>5399.1</v>
      </c>
      <c r="L201" s="9">
        <v>46353</v>
      </c>
    </row>
    <row r="202" spans="1:12" x14ac:dyDescent="0.3">
      <c r="A202" s="6" t="s">
        <v>400</v>
      </c>
      <c r="B202" s="7">
        <v>9789635722266</v>
      </c>
      <c r="C202" s="7" t="s">
        <v>545</v>
      </c>
      <c r="D202" s="6" t="s">
        <v>401</v>
      </c>
      <c r="E202" s="6">
        <v>3</v>
      </c>
      <c r="F202" s="6"/>
      <c r="G202" s="8">
        <v>3999</v>
      </c>
      <c r="H202" s="11">
        <f t="shared" si="9"/>
        <v>3808.5714285714284</v>
      </c>
      <c r="I202" s="11">
        <f t="shared" ref="I202:I203" si="11">K202*0.55</f>
        <v>1099.7250000000001</v>
      </c>
      <c r="J202" s="10">
        <v>0.5</v>
      </c>
      <c r="K202" s="8">
        <f>G202-(G202*J202)</f>
        <v>1999.5</v>
      </c>
      <c r="L202" s="9"/>
    </row>
    <row r="203" spans="1:12" x14ac:dyDescent="0.3">
      <c r="A203" s="6" t="s">
        <v>402</v>
      </c>
      <c r="B203" s="7">
        <v>9789635720606</v>
      </c>
      <c r="C203" s="7" t="s">
        <v>546</v>
      </c>
      <c r="D203" s="6" t="s">
        <v>403</v>
      </c>
      <c r="E203" s="6">
        <v>3</v>
      </c>
      <c r="F203" s="6"/>
      <c r="G203" s="8">
        <v>3999</v>
      </c>
      <c r="H203" s="11">
        <f t="shared" si="9"/>
        <v>3808.5714285714284</v>
      </c>
      <c r="I203" s="11">
        <f t="shared" si="11"/>
        <v>1099.7250000000001</v>
      </c>
      <c r="J203" s="10">
        <v>0.5</v>
      </c>
      <c r="K203" s="8">
        <f>G203-(G203*J203)</f>
        <v>1999.5</v>
      </c>
      <c r="L203" s="9"/>
    </row>
    <row r="204" spans="1:12" x14ac:dyDescent="0.3">
      <c r="A204" s="6" t="s">
        <v>404</v>
      </c>
      <c r="B204" s="7">
        <v>9789635720064</v>
      </c>
      <c r="C204" s="7" t="s">
        <v>475</v>
      </c>
      <c r="D204" s="6" t="s">
        <v>405</v>
      </c>
      <c r="E204" s="6"/>
      <c r="F204" s="6">
        <v>2</v>
      </c>
      <c r="G204" s="8">
        <v>5999</v>
      </c>
      <c r="H204" s="11">
        <f t="shared" si="9"/>
        <v>5713.333333333333</v>
      </c>
      <c r="I204" s="11">
        <f t="shared" si="10"/>
        <v>3142.3333333333335</v>
      </c>
      <c r="J204" s="10">
        <v>0.2</v>
      </c>
      <c r="K204" s="8">
        <f>G204-(G204*J204)</f>
        <v>4799.2</v>
      </c>
      <c r="L204" s="9"/>
    </row>
    <row r="205" spans="1:12" x14ac:dyDescent="0.3">
      <c r="A205" s="6" t="s">
        <v>406</v>
      </c>
      <c r="B205" s="7">
        <v>9789635721238</v>
      </c>
      <c r="C205" s="7" t="s">
        <v>547</v>
      </c>
      <c r="D205" s="6" t="s">
        <v>407</v>
      </c>
      <c r="E205" s="6"/>
      <c r="F205" s="6">
        <v>2</v>
      </c>
      <c r="G205" s="8">
        <v>3999</v>
      </c>
      <c r="H205" s="11">
        <f t="shared" si="9"/>
        <v>3808.5714285714284</v>
      </c>
      <c r="I205" s="11">
        <f t="shared" si="10"/>
        <v>2094.7142857142858</v>
      </c>
      <c r="J205" s="10">
        <v>0.2</v>
      </c>
      <c r="K205" s="8">
        <f>G205-(G205*J205)</f>
        <v>3199.2</v>
      </c>
      <c r="L205" s="9"/>
    </row>
    <row r="206" spans="1:12" x14ac:dyDescent="0.3">
      <c r="A206" s="6" t="s">
        <v>408</v>
      </c>
      <c r="B206" s="7">
        <v>9789635721351</v>
      </c>
      <c r="C206" s="7" t="s">
        <v>547</v>
      </c>
      <c r="D206" s="6" t="s">
        <v>409</v>
      </c>
      <c r="E206" s="6"/>
      <c r="F206" s="6">
        <v>2</v>
      </c>
      <c r="G206" s="8">
        <v>5499</v>
      </c>
      <c r="H206" s="11">
        <f t="shared" si="9"/>
        <v>5237.1428571428569</v>
      </c>
      <c r="I206" s="11">
        <f t="shared" si="10"/>
        <v>2880.4285714285716</v>
      </c>
      <c r="J206" s="10">
        <v>0.2</v>
      </c>
      <c r="K206" s="8">
        <f>G206-(G206*J206)</f>
        <v>4399.2</v>
      </c>
      <c r="L206" s="9"/>
    </row>
    <row r="207" spans="1:12" x14ac:dyDescent="0.3">
      <c r="A207" s="6" t="s">
        <v>411</v>
      </c>
      <c r="B207" s="7">
        <v>9789635726363</v>
      </c>
      <c r="C207" s="7" t="s">
        <v>480</v>
      </c>
      <c r="D207" s="6" t="s">
        <v>410</v>
      </c>
      <c r="E207" s="6"/>
      <c r="F207" s="6">
        <v>2</v>
      </c>
      <c r="G207" s="8">
        <v>5999</v>
      </c>
      <c r="H207" s="11">
        <f t="shared" si="9"/>
        <v>5713.333333333333</v>
      </c>
      <c r="I207" s="11">
        <f t="shared" si="10"/>
        <v>3142.3333333333335</v>
      </c>
      <c r="J207" s="10">
        <v>0.2</v>
      </c>
      <c r="K207" s="8">
        <f>G207-(G207*J207)</f>
        <v>4799.2</v>
      </c>
      <c r="L207" s="9"/>
    </row>
    <row r="208" spans="1:12" x14ac:dyDescent="0.3">
      <c r="A208" s="6" t="s">
        <v>412</v>
      </c>
      <c r="B208" s="7">
        <v>9789635723898</v>
      </c>
      <c r="C208" s="7" t="s">
        <v>436</v>
      </c>
      <c r="D208" s="6" t="s">
        <v>413</v>
      </c>
      <c r="E208" s="6"/>
      <c r="F208" s="6">
        <v>2</v>
      </c>
      <c r="G208" s="8">
        <v>4999</v>
      </c>
      <c r="H208" s="11">
        <f t="shared" si="9"/>
        <v>4760.9523809523807</v>
      </c>
      <c r="I208" s="11">
        <f t="shared" si="10"/>
        <v>2618.5238095238096</v>
      </c>
      <c r="J208" s="10">
        <v>0.2</v>
      </c>
      <c r="K208" s="8">
        <f>G208-(G208*J208)</f>
        <v>3999.2</v>
      </c>
      <c r="L208" s="9"/>
    </row>
    <row r="209" spans="1:12" x14ac:dyDescent="0.3">
      <c r="A209" s="6" t="s">
        <v>415</v>
      </c>
      <c r="B209" s="7">
        <v>9789635724567</v>
      </c>
      <c r="C209" s="7" t="s">
        <v>441</v>
      </c>
      <c r="D209" s="6" t="s">
        <v>414</v>
      </c>
      <c r="E209" s="6"/>
      <c r="F209" s="6">
        <v>2</v>
      </c>
      <c r="G209" s="8">
        <v>5499</v>
      </c>
      <c r="H209" s="11">
        <f t="shared" si="9"/>
        <v>5237.1428571428569</v>
      </c>
      <c r="I209" s="11">
        <f t="shared" si="10"/>
        <v>2880.4285714285716</v>
      </c>
      <c r="J209" s="10">
        <v>0.2</v>
      </c>
      <c r="K209" s="8">
        <f>G209-(G209*J209)</f>
        <v>4399.2</v>
      </c>
      <c r="L209" s="9"/>
    </row>
    <row r="210" spans="1:12" x14ac:dyDescent="0.3">
      <c r="A210" s="6" t="s">
        <v>416</v>
      </c>
      <c r="B210" s="7">
        <v>9789635724505</v>
      </c>
      <c r="C210" s="7" t="s">
        <v>446</v>
      </c>
      <c r="D210" s="6" t="s">
        <v>417</v>
      </c>
      <c r="E210" s="6"/>
      <c r="F210" s="6">
        <v>2</v>
      </c>
      <c r="G210" s="8">
        <v>5999</v>
      </c>
      <c r="H210" s="11">
        <f t="shared" si="9"/>
        <v>5713.333333333333</v>
      </c>
      <c r="I210" s="11">
        <f t="shared" si="10"/>
        <v>3142.3333333333335</v>
      </c>
      <c r="J210" s="10">
        <v>0.2</v>
      </c>
      <c r="K210" s="8">
        <f>G210-(G210*J210)</f>
        <v>4799.2</v>
      </c>
      <c r="L210" s="9"/>
    </row>
    <row r="211" spans="1:12" x14ac:dyDescent="0.3">
      <c r="A211" s="6" t="s">
        <v>418</v>
      </c>
      <c r="B211" s="7">
        <v>9789635720712</v>
      </c>
      <c r="C211" s="7" t="s">
        <v>464</v>
      </c>
      <c r="D211" s="6" t="s">
        <v>419</v>
      </c>
      <c r="E211" s="6"/>
      <c r="F211" s="6">
        <v>2</v>
      </c>
      <c r="G211" s="8">
        <v>6499</v>
      </c>
      <c r="H211" s="11">
        <f t="shared" si="9"/>
        <v>6189.5238095238092</v>
      </c>
      <c r="I211" s="11">
        <f t="shared" si="10"/>
        <v>3404.2380952380954</v>
      </c>
      <c r="J211" s="10">
        <v>0.2</v>
      </c>
      <c r="K211" s="8">
        <f>G211-(G211*J211)</f>
        <v>5199.2</v>
      </c>
      <c r="L211" s="9"/>
    </row>
    <row r="212" spans="1:12" x14ac:dyDescent="0.3">
      <c r="A212" s="6" t="s">
        <v>420</v>
      </c>
      <c r="B212" s="7">
        <v>9789635721733</v>
      </c>
      <c r="C212" s="7" t="s">
        <v>548</v>
      </c>
      <c r="D212" s="6" t="s">
        <v>421</v>
      </c>
      <c r="E212" s="6"/>
      <c r="F212" s="6">
        <v>2</v>
      </c>
      <c r="G212" s="8">
        <v>7999</v>
      </c>
      <c r="H212" s="11">
        <f t="shared" si="9"/>
        <v>7618.0952380952376</v>
      </c>
      <c r="I212" s="11">
        <f t="shared" si="10"/>
        <v>4189.9523809523807</v>
      </c>
      <c r="J212" s="10">
        <v>0.1</v>
      </c>
      <c r="K212" s="8">
        <f>G212-(G212*J212)</f>
        <v>7199.1</v>
      </c>
      <c r="L212" s="9">
        <v>46312</v>
      </c>
    </row>
    <row r="213" spans="1:12" x14ac:dyDescent="0.3">
      <c r="A213" s="6" t="s">
        <v>422</v>
      </c>
      <c r="B213" s="7">
        <v>9789635722204</v>
      </c>
      <c r="C213" s="7" t="s">
        <v>549</v>
      </c>
      <c r="D213" s="6" t="s">
        <v>423</v>
      </c>
      <c r="E213" s="6">
        <v>3</v>
      </c>
      <c r="F213" s="6"/>
      <c r="G213" s="8">
        <v>4999</v>
      </c>
      <c r="H213" s="11">
        <f t="shared" si="9"/>
        <v>4760.9523809523807</v>
      </c>
      <c r="I213" s="11">
        <f t="shared" ref="I213:I214" si="12">K213*0.55</f>
        <v>1374.7250000000001</v>
      </c>
      <c r="J213" s="10">
        <v>0.5</v>
      </c>
      <c r="K213" s="8">
        <f>G213-(G213*J213)</f>
        <v>2499.5</v>
      </c>
      <c r="L213" s="9"/>
    </row>
    <row r="214" spans="1:12" x14ac:dyDescent="0.3">
      <c r="A214" s="6" t="s">
        <v>424</v>
      </c>
      <c r="B214" s="7">
        <v>9789635720057</v>
      </c>
      <c r="C214" s="7" t="s">
        <v>550</v>
      </c>
      <c r="D214" s="6" t="s">
        <v>425</v>
      </c>
      <c r="E214" s="6">
        <v>3</v>
      </c>
      <c r="F214" s="6"/>
      <c r="G214" s="8">
        <v>4999</v>
      </c>
      <c r="H214" s="11">
        <f t="shared" si="9"/>
        <v>4760.9523809523807</v>
      </c>
      <c r="I214" s="11">
        <f t="shared" si="12"/>
        <v>1374.7250000000001</v>
      </c>
      <c r="J214" s="10">
        <v>0.5</v>
      </c>
      <c r="K214" s="8">
        <f>G214-(G214*J214)</f>
        <v>2499.5</v>
      </c>
      <c r="L214" s="9"/>
    </row>
    <row r="215" spans="1:12" x14ac:dyDescent="0.3">
      <c r="A215" s="6" t="s">
        <v>426</v>
      </c>
      <c r="B215" s="7">
        <v>9789635725823</v>
      </c>
      <c r="C215" s="7" t="s">
        <v>551</v>
      </c>
      <c r="D215" s="6" t="s">
        <v>427</v>
      </c>
      <c r="E215" s="6"/>
      <c r="F215" s="6">
        <v>2</v>
      </c>
      <c r="G215" s="8">
        <v>5999</v>
      </c>
      <c r="H215" s="11">
        <f t="shared" si="9"/>
        <v>5713.333333333333</v>
      </c>
      <c r="I215" s="11">
        <f t="shared" si="10"/>
        <v>3142.3333333333335</v>
      </c>
      <c r="J215" s="10">
        <v>0.1</v>
      </c>
      <c r="K215" s="8">
        <f>G215-(G215*J215)</f>
        <v>5399.1</v>
      </c>
      <c r="L215" s="9">
        <v>46334</v>
      </c>
    </row>
  </sheetData>
  <autoFilter ref="A2:L215" xr:uid="{00000000-0001-0000-0000-000000000000}"/>
  <conditionalFormatting sqref="D2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Aktuális készlet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István Varga</cp:lastModifiedBy>
  <dcterms:created xsi:type="dcterms:W3CDTF">2026-04-23T11:27:51Z</dcterms:created>
  <dcterms:modified xsi:type="dcterms:W3CDTF">2026-04-27T10:25:10Z</dcterms:modified>
</cp:coreProperties>
</file>